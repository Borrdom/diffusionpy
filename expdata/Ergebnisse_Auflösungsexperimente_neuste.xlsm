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\sciebo2\PostDoc\Friedrich\"/>
    </mc:Choice>
  </mc:AlternateContent>
  <xr:revisionPtr revIDLastSave="0" documentId="13_ncr:1_{F9EC87D9-D702-4A1B-8063-94549B5AA43C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Auflösungsmessungen" sheetId="1" r:id="rId1"/>
    <sheet name="Löslichkeiten" sheetId="4" r:id="rId2"/>
    <sheet name="Sorptionsmessungen" sheetId="2" r:id="rId3"/>
    <sheet name="Isothermen" sheetId="3" r:id="rId4"/>
  </sheets>
  <functionGroups builtInGroupCount="19"/>
  <definedNames>
    <definedName name="solver_adj" localSheetId="0" hidden="1">Auflösungsmessungen!$BK$88</definedName>
    <definedName name="solver_adj" localSheetId="2" hidden="1">Sorptionsmessungen!$K$6</definedName>
    <definedName name="solver_cvg" localSheetId="0" hidden="1">0.0001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2" hidden="1">Sorptionsmessungen!$K$6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0</definedName>
    <definedName name="solver_nwt" localSheetId="0" hidden="1">1</definedName>
    <definedName name="solver_nwt" localSheetId="2" hidden="1">1</definedName>
    <definedName name="solver_opt" localSheetId="0" hidden="1">Auflösungsmessungen!$BG$83</definedName>
    <definedName name="solver_opt" localSheetId="2" hidden="1">Sorptionsmessungen!$F$4</definedName>
    <definedName name="solver_pre" localSheetId="0" hidden="1">0.000001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2" hidden="1">1</definedName>
    <definedName name="solver_rel1" localSheetId="2" hidden="1">1</definedName>
    <definedName name="solver_rhs1" localSheetId="2" hidden="1">1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2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1</definedName>
    <definedName name="solver_tol" localSheetId="2" hidden="1">1</definedName>
    <definedName name="solver_typ" localSheetId="0" hidden="1">2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4" i="1" l="1"/>
  <c r="AL4" i="1"/>
  <c r="V31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5" i="1"/>
  <c r="AK6" i="1"/>
  <c r="AK7" i="1"/>
  <c r="AK8" i="1"/>
  <c r="AK9" i="1"/>
  <c r="AK10" i="1"/>
  <c r="AK11" i="1"/>
  <c r="AK12" i="1"/>
  <c r="AK13" i="1"/>
  <c r="AK14" i="1"/>
  <c r="AK15" i="1"/>
  <c r="AK4" i="1"/>
  <c r="Z4" i="2" l="1"/>
  <c r="BJ4" i="2"/>
  <c r="BI5" i="2"/>
  <c r="BJ5" i="2" s="1"/>
  <c r="BI6" i="2" l="1"/>
  <c r="Y5" i="2"/>
  <c r="Z5" i="2" s="1"/>
  <c r="Y6" i="2" l="1"/>
  <c r="BJ6" i="2"/>
  <c r="BI7" i="2"/>
  <c r="BJ7" i="2" l="1"/>
  <c r="BI8" i="2"/>
  <c r="Z6" i="2"/>
  <c r="Y7" i="2"/>
  <c r="Z19" i="1"/>
  <c r="Z20" i="1"/>
  <c r="AL20" i="1" s="1"/>
  <c r="AL19" i="1"/>
  <c r="D4" i="2" a="1"/>
  <c r="Z7" i="2" l="1"/>
  <c r="Y8" i="2"/>
  <c r="BJ8" i="2"/>
  <c r="BI9" i="2"/>
  <c r="D4" i="2"/>
  <c r="D8" i="2"/>
  <c r="D12" i="2"/>
  <c r="D16" i="2"/>
  <c r="D20" i="2"/>
  <c r="D24" i="2"/>
  <c r="D28" i="2"/>
  <c r="D32" i="2"/>
  <c r="D36" i="2"/>
  <c r="D40" i="2"/>
  <c r="D44" i="2"/>
  <c r="D48" i="2"/>
  <c r="D52" i="2"/>
  <c r="D56" i="2"/>
  <c r="D60" i="2"/>
  <c r="D64" i="2"/>
  <c r="D9" i="2"/>
  <c r="D13" i="2"/>
  <c r="D17" i="2"/>
  <c r="D21" i="2"/>
  <c r="D25" i="2"/>
  <c r="D29" i="2"/>
  <c r="D37" i="2"/>
  <c r="D41" i="2"/>
  <c r="D45" i="2"/>
  <c r="D53" i="2"/>
  <c r="D57" i="2"/>
  <c r="D61" i="2"/>
  <c r="D6" i="2"/>
  <c r="D22" i="2"/>
  <c r="D30" i="2"/>
  <c r="D38" i="2"/>
  <c r="D46" i="2"/>
  <c r="D54" i="2"/>
  <c r="D62" i="2"/>
  <c r="D11" i="2"/>
  <c r="D19" i="2"/>
  <c r="D27" i="2"/>
  <c r="D31" i="2"/>
  <c r="D39" i="2"/>
  <c r="D47" i="2"/>
  <c r="D55" i="2"/>
  <c r="D63" i="2"/>
  <c r="D5" i="2"/>
  <c r="D33" i="2"/>
  <c r="D49" i="2"/>
  <c r="D10" i="2"/>
  <c r="D14" i="2"/>
  <c r="D18" i="2"/>
  <c r="D26" i="2"/>
  <c r="D34" i="2"/>
  <c r="D42" i="2"/>
  <c r="D50" i="2"/>
  <c r="D58" i="2"/>
  <c r="D7" i="2"/>
  <c r="D15" i="2"/>
  <c r="D23" i="2"/>
  <c r="D35" i="2"/>
  <c r="D43" i="2"/>
  <c r="D51" i="2"/>
  <c r="D59" i="2"/>
  <c r="AD80" i="1"/>
  <c r="AQ80" i="1" s="1"/>
  <c r="AS80" i="1" s="1"/>
  <c r="AD81" i="1"/>
  <c r="AQ81" i="1" s="1"/>
  <c r="AS81" i="1" s="1"/>
  <c r="AD82" i="1"/>
  <c r="AQ82" i="1" s="1"/>
  <c r="AS82" i="1" s="1"/>
  <c r="AD83" i="1"/>
  <c r="AQ83" i="1" s="1"/>
  <c r="AS83" i="1" s="1"/>
  <c r="AD84" i="1"/>
  <c r="AQ84" i="1" s="1"/>
  <c r="AS84" i="1" s="1"/>
  <c r="AD85" i="1"/>
  <c r="AQ85" i="1" s="1"/>
  <c r="AS85" i="1" s="1"/>
  <c r="AD86" i="1"/>
  <c r="AQ86" i="1" s="1"/>
  <c r="AS86" i="1" s="1"/>
  <c r="AD87" i="1"/>
  <c r="AQ87" i="1" s="1"/>
  <c r="AS87" i="1" s="1"/>
  <c r="AD88" i="1"/>
  <c r="AQ88" i="1" s="1"/>
  <c r="AS88" i="1" s="1"/>
  <c r="AD89" i="1"/>
  <c r="AQ89" i="1" s="1"/>
  <c r="AS89" i="1" s="1"/>
  <c r="AD90" i="1"/>
  <c r="AQ90" i="1" s="1"/>
  <c r="AS90" i="1" s="1"/>
  <c r="AD79" i="1"/>
  <c r="AQ79" i="1" s="1"/>
  <c r="AS79" i="1" s="1"/>
  <c r="AA79" i="1"/>
  <c r="AM79" i="1" s="1"/>
  <c r="AO79" i="1" s="1"/>
  <c r="AY79" i="1" s="1"/>
  <c r="AC80" i="1"/>
  <c r="AP80" i="1" s="1"/>
  <c r="AR80" i="1" s="1"/>
  <c r="AC81" i="1"/>
  <c r="AP81" i="1" s="1"/>
  <c r="AR81" i="1" s="1"/>
  <c r="AC82" i="1"/>
  <c r="AP82" i="1" s="1"/>
  <c r="AR82" i="1" s="1"/>
  <c r="AC83" i="1"/>
  <c r="AP83" i="1" s="1"/>
  <c r="AR83" i="1" s="1"/>
  <c r="AC84" i="1"/>
  <c r="AP84" i="1" s="1"/>
  <c r="AR84" i="1" s="1"/>
  <c r="AC85" i="1"/>
  <c r="AP85" i="1" s="1"/>
  <c r="AR85" i="1" s="1"/>
  <c r="AC86" i="1"/>
  <c r="AP86" i="1" s="1"/>
  <c r="AR86" i="1" s="1"/>
  <c r="AC87" i="1"/>
  <c r="AP87" i="1" s="1"/>
  <c r="AR87" i="1" s="1"/>
  <c r="AC88" i="1"/>
  <c r="AP88" i="1" s="1"/>
  <c r="AR88" i="1" s="1"/>
  <c r="AC89" i="1"/>
  <c r="AP89" i="1" s="1"/>
  <c r="AR89" i="1" s="1"/>
  <c r="AC90" i="1"/>
  <c r="AP90" i="1" s="1"/>
  <c r="AR90" i="1" s="1"/>
  <c r="AC79" i="1"/>
  <c r="AP79" i="1" s="1"/>
  <c r="AR79" i="1" s="1"/>
  <c r="Z79" i="1"/>
  <c r="AL79" i="1" s="1"/>
  <c r="AN79" i="1" s="1"/>
  <c r="AX79" i="1" s="1"/>
  <c r="X79" i="1" l="1"/>
  <c r="V79" i="1"/>
  <c r="BI10" i="2"/>
  <c r="BJ9" i="2"/>
  <c r="Z8" i="2"/>
  <c r="Y9" i="2"/>
  <c r="W79" i="1"/>
  <c r="U79" i="1"/>
  <c r="AA80" i="1"/>
  <c r="AA81" i="1"/>
  <c r="AA82" i="1"/>
  <c r="AA83" i="1"/>
  <c r="AA84" i="1"/>
  <c r="AA85" i="1"/>
  <c r="AA86" i="1"/>
  <c r="AA87" i="1"/>
  <c r="AA88" i="1"/>
  <c r="AA89" i="1"/>
  <c r="AA90" i="1"/>
  <c r="AA64" i="1"/>
  <c r="AM64" i="1" s="1"/>
  <c r="Z80" i="1"/>
  <c r="Z81" i="1"/>
  <c r="Z82" i="1"/>
  <c r="Z83" i="1"/>
  <c r="Z84" i="1"/>
  <c r="Z85" i="1"/>
  <c r="Z86" i="1"/>
  <c r="Z87" i="1"/>
  <c r="Z88" i="1"/>
  <c r="Z89" i="1"/>
  <c r="Z90" i="1"/>
  <c r="Z64" i="1"/>
  <c r="AL64" i="1" s="1"/>
  <c r="P65" i="1"/>
  <c r="P66" i="1"/>
  <c r="P67" i="1"/>
  <c r="P68" i="1"/>
  <c r="P69" i="1"/>
  <c r="P70" i="1"/>
  <c r="P71" i="1"/>
  <c r="P72" i="1"/>
  <c r="P73" i="1"/>
  <c r="P74" i="1"/>
  <c r="P75" i="1"/>
  <c r="P64" i="1"/>
  <c r="O65" i="1"/>
  <c r="O66" i="1"/>
  <c r="O67" i="1"/>
  <c r="O68" i="1"/>
  <c r="O69" i="1"/>
  <c r="O70" i="1"/>
  <c r="O71" i="1"/>
  <c r="O72" i="1"/>
  <c r="O73" i="1"/>
  <c r="O74" i="1"/>
  <c r="O75" i="1"/>
  <c r="O64" i="1"/>
  <c r="AL83" i="1" l="1"/>
  <c r="AN83" i="1" s="1"/>
  <c r="AX83" i="1" s="1"/>
  <c r="U83" i="1"/>
  <c r="W83" i="1"/>
  <c r="AM87" i="1"/>
  <c r="AO87" i="1" s="1"/>
  <c r="AY87" i="1" s="1"/>
  <c r="V87" i="1"/>
  <c r="X87" i="1"/>
  <c r="AL81" i="1"/>
  <c r="AN81" i="1" s="1"/>
  <c r="AX81" i="1" s="1"/>
  <c r="U81" i="1"/>
  <c r="W81" i="1"/>
  <c r="AM85" i="1"/>
  <c r="AO85" i="1" s="1"/>
  <c r="AY85" i="1" s="1"/>
  <c r="V85" i="1"/>
  <c r="X85" i="1"/>
  <c r="Y10" i="2"/>
  <c r="Z9" i="2"/>
  <c r="AL88" i="1"/>
  <c r="AN88" i="1" s="1"/>
  <c r="AX88" i="1" s="1"/>
  <c r="W88" i="1"/>
  <c r="U88" i="1"/>
  <c r="AL80" i="1"/>
  <c r="AN80" i="1" s="1"/>
  <c r="AX80" i="1" s="1"/>
  <c r="U80" i="1"/>
  <c r="W80" i="1"/>
  <c r="AM84" i="1"/>
  <c r="AO84" i="1" s="1"/>
  <c r="AY84" i="1" s="1"/>
  <c r="X84" i="1"/>
  <c r="V84" i="1"/>
  <c r="AM86" i="1"/>
  <c r="AO86" i="1" s="1"/>
  <c r="AY86" i="1" s="1"/>
  <c r="V86" i="1"/>
  <c r="X86" i="1"/>
  <c r="AM83" i="1"/>
  <c r="AO83" i="1" s="1"/>
  <c r="AY83" i="1" s="1"/>
  <c r="V83" i="1"/>
  <c r="X83" i="1"/>
  <c r="AL82" i="1"/>
  <c r="AN82" i="1" s="1"/>
  <c r="AX82" i="1" s="1"/>
  <c r="U82" i="1"/>
  <c r="W82" i="1"/>
  <c r="AL86" i="1"/>
  <c r="AN86" i="1" s="1"/>
  <c r="AX86" i="1" s="1"/>
  <c r="W86" i="1"/>
  <c r="U86" i="1"/>
  <c r="AM90" i="1"/>
  <c r="AO90" i="1" s="1"/>
  <c r="AY90" i="1" s="1"/>
  <c r="X90" i="1"/>
  <c r="V90" i="1"/>
  <c r="AM82" i="1"/>
  <c r="AO82" i="1" s="1"/>
  <c r="AY82" i="1" s="1"/>
  <c r="V82" i="1"/>
  <c r="X82" i="1"/>
  <c r="BI11" i="2"/>
  <c r="BJ10" i="2"/>
  <c r="AL89" i="1"/>
  <c r="AN89" i="1" s="1"/>
  <c r="AX89" i="1" s="1"/>
  <c r="U89" i="1"/>
  <c r="W89" i="1"/>
  <c r="AL87" i="1"/>
  <c r="AN87" i="1" s="1"/>
  <c r="AX87" i="1" s="1"/>
  <c r="U87" i="1"/>
  <c r="W87" i="1"/>
  <c r="AL85" i="1"/>
  <c r="AN85" i="1" s="1"/>
  <c r="AX85" i="1" s="1"/>
  <c r="U85" i="1"/>
  <c r="W85" i="1"/>
  <c r="AM89" i="1"/>
  <c r="AO89" i="1" s="1"/>
  <c r="AY89" i="1" s="1"/>
  <c r="V89" i="1"/>
  <c r="X89" i="1"/>
  <c r="AM81" i="1"/>
  <c r="AO81" i="1" s="1"/>
  <c r="AY81" i="1" s="1"/>
  <c r="V81" i="1"/>
  <c r="X81" i="1"/>
  <c r="AL90" i="1"/>
  <c r="AN90" i="1" s="1"/>
  <c r="AX90" i="1" s="1"/>
  <c r="U90" i="1"/>
  <c r="W90" i="1"/>
  <c r="AL84" i="1"/>
  <c r="AN84" i="1" s="1"/>
  <c r="AX84" i="1" s="1"/>
  <c r="U84" i="1"/>
  <c r="W84" i="1"/>
  <c r="AM88" i="1"/>
  <c r="AO88" i="1" s="1"/>
  <c r="AY88" i="1" s="1"/>
  <c r="V88" i="1"/>
  <c r="X88" i="1"/>
  <c r="AM80" i="1"/>
  <c r="AO80" i="1" s="1"/>
  <c r="AY80" i="1" s="1"/>
  <c r="V80" i="1"/>
  <c r="X80" i="1"/>
  <c r="D3" i="4"/>
  <c r="D2" i="4"/>
  <c r="E172" i="1"/>
  <c r="AA34" i="1"/>
  <c r="AM34" i="1" s="1"/>
  <c r="D172" i="1"/>
  <c r="E170" i="1"/>
  <c r="AA4" i="1"/>
  <c r="D170" i="1"/>
  <c r="Z4" i="1"/>
  <c r="AI90" i="1"/>
  <c r="AJ90" i="1"/>
  <c r="AI89" i="1"/>
  <c r="AJ89" i="1"/>
  <c r="AI88" i="1"/>
  <c r="AJ88" i="1"/>
  <c r="AI87" i="1"/>
  <c r="AJ87" i="1"/>
  <c r="AI86" i="1"/>
  <c r="AJ86" i="1"/>
  <c r="AI85" i="1"/>
  <c r="AJ85" i="1"/>
  <c r="AI84" i="1"/>
  <c r="AJ84" i="1"/>
  <c r="AI83" i="1"/>
  <c r="AJ83" i="1"/>
  <c r="BI12" i="2" l="1"/>
  <c r="BJ11" i="2"/>
  <c r="Y11" i="2"/>
  <c r="Z10" i="2"/>
  <c r="AN4" i="1"/>
  <c r="AH90" i="1"/>
  <c r="AH89" i="1"/>
  <c r="AH87" i="1"/>
  <c r="AH86" i="1"/>
  <c r="AH85" i="1"/>
  <c r="AH83" i="1"/>
  <c r="AH88" i="1"/>
  <c r="AH84" i="1"/>
  <c r="V26" i="1"/>
  <c r="U26" i="1"/>
  <c r="V25" i="1"/>
  <c r="U25" i="1"/>
  <c r="V22" i="1"/>
  <c r="AO64" i="1" s="1"/>
  <c r="U22" i="1"/>
  <c r="AN64" i="1" s="1"/>
  <c r="V21" i="1"/>
  <c r="AO34" i="1" s="1"/>
  <c r="U21" i="1"/>
  <c r="V20" i="1"/>
  <c r="AO4" i="1" s="1"/>
  <c r="U20" i="1"/>
  <c r="Y12" i="2" l="1"/>
  <c r="Z11" i="2"/>
  <c r="BI13" i="2"/>
  <c r="BJ12" i="2"/>
  <c r="AN19" i="1"/>
  <c r="AN20" i="1"/>
  <c r="BR17" i="2"/>
  <c r="BS17" i="2" s="1"/>
  <c r="BX30" i="1" s="1"/>
  <c r="BR21" i="2"/>
  <c r="BS21" i="2"/>
  <c r="BY30" i="1" s="1"/>
  <c r="AX4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5" i="2"/>
  <c r="AX6" i="2"/>
  <c r="AX7" i="2"/>
  <c r="AX8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4" i="2"/>
  <c r="BS6" i="2"/>
  <c r="BS4" i="2"/>
  <c r="BG4" i="2"/>
  <c r="BR16" i="2" s="1"/>
  <c r="BS16" i="2" s="1"/>
  <c r="BX29" i="1" s="1"/>
  <c r="AU4" i="2"/>
  <c r="BR15" i="2" s="1"/>
  <c r="BS15" i="2" s="1"/>
  <c r="BX28" i="1" s="1"/>
  <c r="BK89" i="1"/>
  <c r="BJ79" i="1" s="1"/>
  <c r="BX34" i="1" s="1"/>
  <c r="BK85" i="1"/>
  <c r="BK86" i="1" s="1"/>
  <c r="BK83" i="1" s="1"/>
  <c r="BK74" i="1"/>
  <c r="BJ64" i="1" s="1"/>
  <c r="BX19" i="1" s="1"/>
  <c r="BK70" i="1"/>
  <c r="BK71" i="1" s="1"/>
  <c r="BK68" i="1" s="1"/>
  <c r="BK59" i="1"/>
  <c r="BJ49" i="1" s="1"/>
  <c r="BX33" i="1" s="1"/>
  <c r="BK55" i="1"/>
  <c r="BK56" i="1" s="1"/>
  <c r="BK53" i="1" s="1"/>
  <c r="BK44" i="1"/>
  <c r="BJ34" i="1" s="1"/>
  <c r="BX18" i="1" s="1"/>
  <c r="BK40" i="1"/>
  <c r="BK41" i="1" s="1"/>
  <c r="BK38" i="1" s="1"/>
  <c r="BK29" i="1"/>
  <c r="BJ19" i="1" s="1"/>
  <c r="BX32" i="1" s="1"/>
  <c r="BK25" i="1"/>
  <c r="BK26" i="1" s="1"/>
  <c r="BK23" i="1" s="1"/>
  <c r="BK14" i="1"/>
  <c r="BJ4" i="1" s="1"/>
  <c r="BX17" i="1" s="1"/>
  <c r="AJ82" i="1"/>
  <c r="AI82" i="1"/>
  <c r="B82" i="1"/>
  <c r="AJ81" i="1"/>
  <c r="AI81" i="1"/>
  <c r="B81" i="1"/>
  <c r="AJ80" i="1"/>
  <c r="AI80" i="1"/>
  <c r="B80" i="1"/>
  <c r="AJ79" i="1"/>
  <c r="AI79" i="1"/>
  <c r="B79" i="1"/>
  <c r="T12" i="1"/>
  <c r="U15" i="1" a="1"/>
  <c r="BL4" i="2" a="1"/>
  <c r="BI14" i="2" l="1"/>
  <c r="BJ13" i="2"/>
  <c r="Y13" i="2"/>
  <c r="Z12" i="2"/>
  <c r="AH79" i="1"/>
  <c r="AH81" i="1"/>
  <c r="AH82" i="1"/>
  <c r="AH80" i="1"/>
  <c r="U15" i="1"/>
  <c r="BL6" i="2"/>
  <c r="BM6" i="2" s="1" a="1"/>
  <c r="BM6" i="2" s="1"/>
  <c r="BL5" i="2"/>
  <c r="BM5" i="2" s="1" a="1"/>
  <c r="BM5" i="2" s="1"/>
  <c r="BL4" i="2"/>
  <c r="BM4" i="2" s="1" a="1"/>
  <c r="BM4" i="2" s="1"/>
  <c r="BN4" i="2" s="1"/>
  <c r="BL7" i="2"/>
  <c r="BM7" i="2" s="1" a="1"/>
  <c r="BM7" i="2" s="1"/>
  <c r="BL8" i="2"/>
  <c r="BM8" i="2" s="1" a="1"/>
  <c r="BM8" i="2" s="1"/>
  <c r="K3" i="2"/>
  <c r="AH14" i="2" s="1"/>
  <c r="Y14" i="2" l="1"/>
  <c r="Z13" i="2"/>
  <c r="BI15" i="2"/>
  <c r="BJ14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D79" i="2"/>
  <c r="D80" i="2"/>
  <c r="D81" i="2"/>
  <c r="B70" i="2"/>
  <c r="B71" i="2"/>
  <c r="B73" i="2"/>
  <c r="B74" i="2"/>
  <c r="B75" i="2"/>
  <c r="B76" i="2"/>
  <c r="B77" i="2"/>
  <c r="B78" i="2"/>
  <c r="B79" i="2"/>
  <c r="B80" i="2"/>
  <c r="B81" i="2"/>
  <c r="B69" i="2"/>
  <c r="N4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4" i="2"/>
  <c r="A34" i="3" a="1"/>
  <c r="H34" i="3" a="1"/>
  <c r="D34" i="3" a="1"/>
  <c r="BI16" i="2" l="1"/>
  <c r="BJ15" i="2"/>
  <c r="Y15" i="2"/>
  <c r="Z14" i="2"/>
  <c r="H35" i="3"/>
  <c r="H34" i="3"/>
  <c r="AI6" i="2" s="1"/>
  <c r="D35" i="3"/>
  <c r="D34" i="3"/>
  <c r="A34" i="3"/>
  <c r="K5" i="2" s="1"/>
  <c r="A35" i="3"/>
  <c r="AI14" i="2"/>
  <c r="BX13" i="1" s="1"/>
  <c r="Y16" i="2" l="1"/>
  <c r="Z15" i="2"/>
  <c r="BI17" i="2"/>
  <c r="BJ16" i="2"/>
  <c r="AU6" i="2"/>
  <c r="W5" i="2"/>
  <c r="BG6" i="2"/>
  <c r="AI4" i="2"/>
  <c r="W3" i="2"/>
  <c r="P4" i="2" a="1"/>
  <c r="AZ4" i="2" a="1"/>
  <c r="AB4" i="2" a="1"/>
  <c r="AN4" i="2" a="1"/>
  <c r="BI18" i="2" l="1"/>
  <c r="BJ17" i="2"/>
  <c r="Y17" i="2"/>
  <c r="Z16" i="2"/>
  <c r="AN27" i="2"/>
  <c r="AN28" i="2"/>
  <c r="AN37" i="2"/>
  <c r="AN46" i="2"/>
  <c r="AN55" i="2"/>
  <c r="AN9" i="2"/>
  <c r="AN18" i="2"/>
  <c r="AN39" i="2"/>
  <c r="AN35" i="2"/>
  <c r="AN36" i="2"/>
  <c r="AN45" i="2"/>
  <c r="AN54" i="2"/>
  <c r="AN8" i="2"/>
  <c r="AN17" i="2"/>
  <c r="AN26" i="2"/>
  <c r="AN43" i="2"/>
  <c r="AN44" i="2"/>
  <c r="AN53" i="2"/>
  <c r="AN7" i="2"/>
  <c r="AN16" i="2"/>
  <c r="AN25" i="2"/>
  <c r="AN34" i="2"/>
  <c r="AN11" i="2"/>
  <c r="AN48" i="2"/>
  <c r="AN51" i="2"/>
  <c r="AN52" i="2"/>
  <c r="AN6" i="2"/>
  <c r="AN15" i="2"/>
  <c r="AN24" i="2"/>
  <c r="AN33" i="2"/>
  <c r="AN42" i="2"/>
  <c r="AN49" i="2"/>
  <c r="AN21" i="2"/>
  <c r="AN57" i="2"/>
  <c r="AN59" i="2"/>
  <c r="AN5" i="2"/>
  <c r="AN14" i="2"/>
  <c r="AN23" i="2"/>
  <c r="AN32" i="2"/>
  <c r="AN41" i="2"/>
  <c r="AN50" i="2"/>
  <c r="AN40" i="2"/>
  <c r="AN30" i="2"/>
  <c r="AN4" i="2"/>
  <c r="AN13" i="2"/>
  <c r="AN22" i="2"/>
  <c r="AN31" i="2"/>
  <c r="AN58" i="2"/>
  <c r="AN19" i="2"/>
  <c r="AN20" i="2"/>
  <c r="AN29" i="2"/>
  <c r="AN38" i="2"/>
  <c r="AN47" i="2"/>
  <c r="AN56" i="2"/>
  <c r="AN10" i="2"/>
  <c r="AN12" i="2"/>
  <c r="E4" i="2"/>
  <c r="AZ27" i="2"/>
  <c r="AZ12" i="2"/>
  <c r="AZ5" i="2"/>
  <c r="AZ69" i="2"/>
  <c r="AZ62" i="2"/>
  <c r="AZ55" i="2"/>
  <c r="AZ48" i="2"/>
  <c r="AZ41" i="2"/>
  <c r="AZ34" i="2"/>
  <c r="AZ75" i="2"/>
  <c r="AZ35" i="2"/>
  <c r="AZ20" i="2"/>
  <c r="AZ13" i="2"/>
  <c r="AZ6" i="2"/>
  <c r="AZ70" i="2"/>
  <c r="AZ63" i="2"/>
  <c r="AZ56" i="2"/>
  <c r="AZ49" i="2"/>
  <c r="AZ42" i="2"/>
  <c r="AZ43" i="2"/>
  <c r="AZ28" i="2"/>
  <c r="AZ21" i="2"/>
  <c r="AZ14" i="2"/>
  <c r="AZ7" i="2"/>
  <c r="AZ71" i="2"/>
  <c r="AZ64" i="2"/>
  <c r="AZ57" i="2"/>
  <c r="AZ50" i="2"/>
  <c r="AZ46" i="2"/>
  <c r="AZ51" i="2"/>
  <c r="AZ36" i="2"/>
  <c r="AZ29" i="2"/>
  <c r="AZ22" i="2"/>
  <c r="AZ15" i="2"/>
  <c r="AZ8" i="2"/>
  <c r="AZ72" i="2"/>
  <c r="AZ65" i="2"/>
  <c r="AZ58" i="2"/>
  <c r="AZ53" i="2"/>
  <c r="AZ39" i="2"/>
  <c r="AZ32" i="2"/>
  <c r="AZ18" i="2"/>
  <c r="AZ59" i="2"/>
  <c r="AZ44" i="2"/>
  <c r="AZ37" i="2"/>
  <c r="AZ30" i="2"/>
  <c r="AZ23" i="2"/>
  <c r="AZ16" i="2"/>
  <c r="AZ9" i="2"/>
  <c r="AZ73" i="2"/>
  <c r="AZ66" i="2"/>
  <c r="AZ60" i="2"/>
  <c r="AZ25" i="2"/>
  <c r="AZ67" i="2"/>
  <c r="AZ52" i="2"/>
  <c r="AZ45" i="2"/>
  <c r="AZ38" i="2"/>
  <c r="AZ31" i="2"/>
  <c r="AZ24" i="2"/>
  <c r="AZ17" i="2"/>
  <c r="AZ10" i="2"/>
  <c r="AZ74" i="2"/>
  <c r="AZ19" i="2"/>
  <c r="AZ4" i="2"/>
  <c r="AZ68" i="2"/>
  <c r="AZ61" i="2"/>
  <c r="AZ54" i="2"/>
  <c r="AZ47" i="2"/>
  <c r="AZ40" i="2"/>
  <c r="AZ33" i="2"/>
  <c r="AZ26" i="2"/>
  <c r="AZ11" i="2"/>
  <c r="AB11" i="2"/>
  <c r="AB75" i="2"/>
  <c r="AB60" i="2"/>
  <c r="AB53" i="2"/>
  <c r="AB46" i="2"/>
  <c r="AB39" i="2"/>
  <c r="AB32" i="2"/>
  <c r="AB25" i="2"/>
  <c r="AB18" i="2"/>
  <c r="AB19" i="2"/>
  <c r="AB4" i="2"/>
  <c r="AB68" i="2"/>
  <c r="AB61" i="2"/>
  <c r="AB54" i="2"/>
  <c r="AB47" i="2"/>
  <c r="AB40" i="2"/>
  <c r="AB33" i="2"/>
  <c r="AB26" i="2"/>
  <c r="AB27" i="2"/>
  <c r="AB12" i="2"/>
  <c r="AB5" i="2"/>
  <c r="AB69" i="2"/>
  <c r="AB62" i="2"/>
  <c r="AB55" i="2"/>
  <c r="AB48" i="2"/>
  <c r="AB41" i="2"/>
  <c r="AB34" i="2"/>
  <c r="AB35" i="2"/>
  <c r="AB20" i="2"/>
  <c r="AB13" i="2"/>
  <c r="AB6" i="2"/>
  <c r="AB70" i="2"/>
  <c r="AB63" i="2"/>
  <c r="AB56" i="2"/>
  <c r="AB49" i="2"/>
  <c r="AB42" i="2"/>
  <c r="AB43" i="2"/>
  <c r="AB28" i="2"/>
  <c r="AB21" i="2"/>
  <c r="AB14" i="2"/>
  <c r="AB7" i="2"/>
  <c r="AB71" i="2"/>
  <c r="AB64" i="2"/>
  <c r="AB57" i="2"/>
  <c r="AB50" i="2"/>
  <c r="AB51" i="2"/>
  <c r="AB36" i="2"/>
  <c r="AB29" i="2"/>
  <c r="AB22" i="2"/>
  <c r="AB15" i="2"/>
  <c r="AB8" i="2"/>
  <c r="AB72" i="2"/>
  <c r="AB65" i="2"/>
  <c r="AB58" i="2"/>
  <c r="AB59" i="2"/>
  <c r="AB44" i="2"/>
  <c r="AB37" i="2"/>
  <c r="AB30" i="2"/>
  <c r="AB23" i="2"/>
  <c r="AB16" i="2"/>
  <c r="AB9" i="2"/>
  <c r="AB73" i="2"/>
  <c r="AB66" i="2"/>
  <c r="AB67" i="2"/>
  <c r="AB52" i="2"/>
  <c r="AB45" i="2"/>
  <c r="AB38" i="2"/>
  <c r="AB31" i="2"/>
  <c r="AB24" i="2"/>
  <c r="AB17" i="2"/>
  <c r="AB10" i="2"/>
  <c r="AB74" i="2"/>
  <c r="AH16" i="2"/>
  <c r="AI16" i="2" s="1"/>
  <c r="BX15" i="1" s="1"/>
  <c r="P11" i="2"/>
  <c r="P12" i="2"/>
  <c r="P13" i="2"/>
  <c r="P14" i="2"/>
  <c r="P15" i="2"/>
  <c r="P24" i="2"/>
  <c r="P33" i="2"/>
  <c r="P42" i="2"/>
  <c r="P19" i="2"/>
  <c r="P20" i="2"/>
  <c r="P21" i="2"/>
  <c r="P22" i="2"/>
  <c r="P23" i="2"/>
  <c r="P32" i="2"/>
  <c r="P41" i="2"/>
  <c r="P50" i="2"/>
  <c r="P27" i="2"/>
  <c r="P28" i="2"/>
  <c r="P29" i="2"/>
  <c r="P30" i="2"/>
  <c r="P31" i="2"/>
  <c r="P40" i="2"/>
  <c r="P49" i="2"/>
  <c r="P58" i="2"/>
  <c r="P35" i="2"/>
  <c r="P36" i="2"/>
  <c r="P37" i="2"/>
  <c r="P38" i="2"/>
  <c r="P39" i="2"/>
  <c r="P48" i="2"/>
  <c r="P57" i="2"/>
  <c r="P43" i="2"/>
  <c r="P44" i="2"/>
  <c r="P45" i="2"/>
  <c r="P46" i="2"/>
  <c r="P47" i="2"/>
  <c r="P56" i="2"/>
  <c r="P10" i="2"/>
  <c r="P51" i="2"/>
  <c r="P52" i="2"/>
  <c r="P53" i="2"/>
  <c r="P54" i="2"/>
  <c r="P55" i="2"/>
  <c r="P9" i="2"/>
  <c r="P18" i="2"/>
  <c r="P59" i="2"/>
  <c r="P60" i="2"/>
  <c r="P61" i="2"/>
  <c r="P62" i="2"/>
  <c r="P8" i="2"/>
  <c r="P17" i="2"/>
  <c r="P26" i="2"/>
  <c r="P4" i="2"/>
  <c r="P5" i="2"/>
  <c r="P6" i="2"/>
  <c r="P7" i="2"/>
  <c r="P16" i="2"/>
  <c r="P25" i="2"/>
  <c r="P34" i="2"/>
  <c r="AH15" i="2"/>
  <c r="AI15" i="2" s="1"/>
  <c r="BX14" i="1" s="1"/>
  <c r="B72" i="2"/>
  <c r="U16" i="1" a="1"/>
  <c r="U17" i="1" a="1"/>
  <c r="AO45" i="2" l="1" a="1"/>
  <c r="AO45" i="2" s="1"/>
  <c r="BA54" i="2" a="1"/>
  <c r="BA54" i="2" s="1"/>
  <c r="BA24" i="2" a="1"/>
  <c r="BA24" i="2" s="1"/>
  <c r="BA66" i="2" a="1"/>
  <c r="BA66" i="2" s="1"/>
  <c r="BA59" i="2" a="1"/>
  <c r="BA59" i="2" s="1"/>
  <c r="BA8" i="2" a="1"/>
  <c r="BA8" i="2" s="1"/>
  <c r="BA57" i="2" a="1"/>
  <c r="BA57" i="2" s="1"/>
  <c r="BA42" i="2" a="1"/>
  <c r="BA42" i="2" s="1"/>
  <c r="BA35" i="2" a="1"/>
  <c r="BA35" i="2" s="1"/>
  <c r="BA5" i="2" a="1"/>
  <c r="BA5" i="2" s="1"/>
  <c r="AO38" i="2" a="1"/>
  <c r="AO38" i="2" s="1"/>
  <c r="AO4" i="2" a="1"/>
  <c r="AO4" i="2" s="1"/>
  <c r="AP4" i="2" s="1"/>
  <c r="AO5" i="2" a="1"/>
  <c r="AO5" i="2" s="1"/>
  <c r="AO15" i="2" a="1"/>
  <c r="AO15" i="2" s="1"/>
  <c r="AO16" i="2" a="1"/>
  <c r="AO16" i="2" s="1"/>
  <c r="AO54" i="2" a="1"/>
  <c r="AO54" i="2" s="1"/>
  <c r="AO46" i="2" a="1"/>
  <c r="AO46" i="2" s="1"/>
  <c r="BA68" i="2" a="1"/>
  <c r="BA68" i="2" s="1"/>
  <c r="BA38" i="2" a="1"/>
  <c r="BA38" i="2" s="1"/>
  <c r="BA9" i="2"/>
  <c r="BA9" i="2" a="1"/>
  <c r="BA32" i="2" a="1"/>
  <c r="BA32" i="2" s="1"/>
  <c r="BA22" i="2" a="1"/>
  <c r="BA22" i="2" s="1"/>
  <c r="BA71" i="2" a="1"/>
  <c r="BA71" i="2" s="1"/>
  <c r="BA56" i="2" a="1"/>
  <c r="BA56" i="2" s="1"/>
  <c r="BA34" i="2" a="1"/>
  <c r="BA34" i="2" s="1"/>
  <c r="BA27" i="2" a="1"/>
  <c r="BA27" i="2" s="1"/>
  <c r="AO20" i="2" a="1"/>
  <c r="AO20" i="2" s="1"/>
  <c r="AO40" i="2"/>
  <c r="AO40" i="2" a="1"/>
  <c r="AO57" i="2" a="1"/>
  <c r="AO57" i="2" s="1"/>
  <c r="AO52" i="2" a="1"/>
  <c r="AO52" i="2" s="1"/>
  <c r="AO53" i="2" a="1"/>
  <c r="AO53" i="2" s="1"/>
  <c r="AO36" i="2" a="1"/>
  <c r="AO36" i="2" s="1"/>
  <c r="AO28" i="2" a="1"/>
  <c r="AO28" i="2" s="1"/>
  <c r="BA11" i="2" a="1"/>
  <c r="BA11" i="2" s="1"/>
  <c r="BA4" i="2" a="1"/>
  <c r="BA4" i="2" s="1"/>
  <c r="BB4" i="2" s="1"/>
  <c r="BA45" i="2"/>
  <c r="BA45" i="2" a="1"/>
  <c r="BA16" i="2" a="1"/>
  <c r="BA16" i="2" s="1"/>
  <c r="BA39" i="2" a="1"/>
  <c r="BA39" i="2" s="1"/>
  <c r="BA29" i="2" a="1"/>
  <c r="BA29" i="2" s="1"/>
  <c r="BA7" i="2" a="1"/>
  <c r="BA7" i="2" s="1"/>
  <c r="BA63" i="2" a="1"/>
  <c r="BA63" i="2" s="1"/>
  <c r="BA41" i="2" a="1"/>
  <c r="BA41" i="2" s="1"/>
  <c r="AO19" i="2" a="1"/>
  <c r="AO19" i="2" s="1"/>
  <c r="AO50" i="2" a="1"/>
  <c r="AO50" i="2" s="1"/>
  <c r="AO21" i="2" a="1"/>
  <c r="AO21" i="2" s="1"/>
  <c r="AO51" i="2" a="1"/>
  <c r="AO51" i="2" s="1"/>
  <c r="AO44" i="2" a="1"/>
  <c r="AO44" i="2" s="1"/>
  <c r="AO35" i="2" a="1"/>
  <c r="AO35" i="2" s="1"/>
  <c r="AO27" i="2" a="1"/>
  <c r="AO27" i="2" s="1"/>
  <c r="AO37" i="2" a="1"/>
  <c r="AO37" i="2" s="1"/>
  <c r="BA19" i="2" a="1"/>
  <c r="BA19" i="2" s="1"/>
  <c r="BA52" i="2"/>
  <c r="BA52" i="2" a="1"/>
  <c r="BA23" i="2" a="1"/>
  <c r="BA23" i="2" s="1"/>
  <c r="BA36" i="2" a="1"/>
  <c r="BA36" i="2" s="1"/>
  <c r="BA70" i="2" a="1"/>
  <c r="BA70" i="2" s="1"/>
  <c r="BA48" i="2" a="1"/>
  <c r="BA48" i="2" s="1"/>
  <c r="AO12" i="2" a="1"/>
  <c r="AO12" i="2" s="1"/>
  <c r="AO58" i="2" a="1"/>
  <c r="AO58" i="2" s="1"/>
  <c r="AO41" i="2" a="1"/>
  <c r="AO41" i="2" s="1"/>
  <c r="AO48" i="2"/>
  <c r="AO48" i="2" a="1"/>
  <c r="AO39" i="2" a="1"/>
  <c r="AO39" i="2" s="1"/>
  <c r="BA74" i="2" a="1"/>
  <c r="BA74" i="2" s="1"/>
  <c r="BA30" i="2" a="1"/>
  <c r="BA30" i="2" s="1"/>
  <c r="BA58" i="2" a="1"/>
  <c r="BA58" i="2" s="1"/>
  <c r="BA21" i="2" a="1"/>
  <c r="BA21" i="2" s="1"/>
  <c r="BA6" i="2" a="1"/>
  <c r="BA6" i="2" s="1"/>
  <c r="BA55" i="2" a="1"/>
  <c r="BA55" i="2" s="1"/>
  <c r="AO10" i="2"/>
  <c r="AO10" i="2" a="1"/>
  <c r="AO31" i="2" a="1"/>
  <c r="AO31" i="2" s="1"/>
  <c r="AO32" i="2" a="1"/>
  <c r="AO32" i="2" s="1"/>
  <c r="AO42" i="2" a="1"/>
  <c r="AO42" i="2" s="1"/>
  <c r="AO11" i="2" a="1"/>
  <c r="AO11" i="2" s="1"/>
  <c r="AO26" i="2" a="1"/>
  <c r="AO26" i="2" s="1"/>
  <c r="AO18" i="2" a="1"/>
  <c r="AO18" i="2" s="1"/>
  <c r="Y18" i="2"/>
  <c r="Z17" i="2"/>
  <c r="BA61" i="2" a="1"/>
  <c r="BA61" i="2" s="1"/>
  <c r="BA73" i="2" a="1"/>
  <c r="BA73" i="2" s="1"/>
  <c r="BA64" i="2" a="1"/>
  <c r="BA64" i="2" s="1"/>
  <c r="BA75" i="2" a="1"/>
  <c r="BA75" i="2" s="1"/>
  <c r="BA12" i="2"/>
  <c r="BA12" i="2" a="1"/>
  <c r="AO59" i="2" a="1"/>
  <c r="AO59" i="2" s="1"/>
  <c r="AO7" i="2" a="1"/>
  <c r="AO7" i="2" s="1"/>
  <c r="BA26" i="2" a="1"/>
  <c r="BA26" i="2" s="1"/>
  <c r="BA14" i="2" a="1"/>
  <c r="BA14" i="2" s="1"/>
  <c r="AO49" i="2" a="1"/>
  <c r="AO49" i="2" s="1"/>
  <c r="BA40" i="2" a="1"/>
  <c r="BA40" i="2" s="1"/>
  <c r="BA10" i="2" a="1"/>
  <c r="BA10" i="2" s="1"/>
  <c r="BA25" i="2" a="1"/>
  <c r="BA25" i="2" s="1"/>
  <c r="BA37" i="2" a="1"/>
  <c r="BA37" i="2" s="1"/>
  <c r="BA65" i="2" a="1"/>
  <c r="BA65" i="2" s="1"/>
  <c r="BA46" i="2" a="1"/>
  <c r="BA46" i="2" s="1"/>
  <c r="BA28" i="2" a="1"/>
  <c r="BA28" i="2" s="1"/>
  <c r="BA13" i="2" a="1"/>
  <c r="BA13" i="2" s="1"/>
  <c r="BA62" i="2" a="1"/>
  <c r="BA62" i="2" s="1"/>
  <c r="AO56" i="2" a="1"/>
  <c r="AO56" i="2" s="1"/>
  <c r="AO22" i="2"/>
  <c r="AO22" i="2" a="1"/>
  <c r="AO23" i="2" a="1"/>
  <c r="AO23" i="2" s="1"/>
  <c r="AO33" i="2" a="1"/>
  <c r="AO33" i="2" s="1"/>
  <c r="AO34" i="2" a="1"/>
  <c r="AO34" i="2" s="1"/>
  <c r="AO17" i="2" a="1"/>
  <c r="AO17" i="2" s="1"/>
  <c r="AO9" i="2" a="1"/>
  <c r="AO9" i="2" s="1"/>
  <c r="BA31" i="2" a="1"/>
  <c r="BA31" i="2" s="1"/>
  <c r="BA18" i="2" a="1"/>
  <c r="BA18" i="2" s="1"/>
  <c r="BA15" i="2"/>
  <c r="BA15" i="2" a="1"/>
  <c r="BA49" i="2" a="1"/>
  <c r="BA49" i="2" s="1"/>
  <c r="AO29" i="2" a="1"/>
  <c r="AO29" i="2" s="1"/>
  <c r="AO30" i="2" a="1"/>
  <c r="AO30" i="2" s="1"/>
  <c r="AO6" i="2" a="1"/>
  <c r="AO6" i="2" s="1"/>
  <c r="BA53" i="2" a="1"/>
  <c r="BA53" i="2" s="1"/>
  <c r="AO43" i="2" a="1"/>
  <c r="AO43" i="2" s="1"/>
  <c r="BA33" i="2" a="1"/>
  <c r="BA33" i="2" s="1"/>
  <c r="BA67" i="2" a="1"/>
  <c r="BA67" i="2" s="1"/>
  <c r="BA51" i="2" a="1"/>
  <c r="BA51" i="2" s="1"/>
  <c r="BA47" i="2" a="1"/>
  <c r="BA47" i="2" s="1"/>
  <c r="BA17" i="2" a="1"/>
  <c r="BA17" i="2" s="1"/>
  <c r="BA60" i="2" a="1"/>
  <c r="BA60" i="2" s="1"/>
  <c r="BA44" i="2" a="1"/>
  <c r="BA44" i="2" s="1"/>
  <c r="BA72" i="2" a="1"/>
  <c r="BA72" i="2" s="1"/>
  <c r="BA50" i="2" a="1"/>
  <c r="BA50" i="2" s="1"/>
  <c r="BA43" i="2" a="1"/>
  <c r="BA43" i="2" s="1"/>
  <c r="BA20" i="2" a="1"/>
  <c r="BA20" i="2" s="1"/>
  <c r="BA69" i="2" a="1"/>
  <c r="BA69" i="2" s="1"/>
  <c r="AO47" i="2" a="1"/>
  <c r="AO47" i="2" s="1"/>
  <c r="AO13" i="2" a="1"/>
  <c r="AO13" i="2" s="1"/>
  <c r="AO14" i="2" a="1"/>
  <c r="AO14" i="2" s="1"/>
  <c r="AO24" i="2" a="1"/>
  <c r="AO24" i="2" s="1"/>
  <c r="AO25" i="2" a="1"/>
  <c r="AO25" i="2" s="1"/>
  <c r="AO8" i="2" a="1"/>
  <c r="AO8" i="2" s="1"/>
  <c r="AO55" i="2" a="1"/>
  <c r="AO55" i="2" s="1"/>
  <c r="BI19" i="2"/>
  <c r="BJ19" i="2" s="1"/>
  <c r="BJ18" i="2"/>
  <c r="U17" i="1"/>
  <c r="U16" i="1"/>
  <c r="Y19" i="2" l="1"/>
  <c r="Z19" i="2" s="1"/>
  <c r="Z18" i="2"/>
  <c r="C81" i="2"/>
  <c r="C80" i="2"/>
  <c r="C79" i="2"/>
  <c r="E13" i="2" l="1" a="1"/>
  <c r="E23" i="2" a="1"/>
  <c r="E33" i="2" a="1"/>
  <c r="E27" i="2" a="1"/>
  <c r="E28" i="2" a="1"/>
  <c r="E28" i="2" s="1"/>
  <c r="E30" i="2" a="1"/>
  <c r="E63" i="2" a="1"/>
  <c r="E57" i="2" a="1"/>
  <c r="E48" i="2" a="1"/>
  <c r="E15" i="2" a="1"/>
  <c r="E21" i="2" a="1"/>
  <c r="E39" i="2" a="1"/>
  <c r="E49" i="2" a="1"/>
  <c r="E35" i="2" a="1"/>
  <c r="E36" i="2" a="1"/>
  <c r="E38" i="2" a="1"/>
  <c r="E16" i="2" a="1"/>
  <c r="E18" i="2" a="1"/>
  <c r="E45" i="2" a="1"/>
  <c r="E32" i="2" a="1"/>
  <c r="E42" i="2" a="1"/>
  <c r="E42" i="2" s="1"/>
  <c r="E59" i="2" a="1"/>
  <c r="E60" i="2" a="1"/>
  <c r="E62" i="2" a="1"/>
  <c r="E56" i="2" a="1"/>
  <c r="E29" i="2" a="1"/>
  <c r="E55" i="2" a="1"/>
  <c r="E10" i="2" a="1"/>
  <c r="E43" i="2" a="1"/>
  <c r="E43" i="2" s="1"/>
  <c r="E44" i="2" a="1"/>
  <c r="E46" i="2" a="1"/>
  <c r="E24" i="2" a="1"/>
  <c r="E34" i="2" a="1"/>
  <c r="E37" i="2" a="1"/>
  <c r="E8" i="2" a="1"/>
  <c r="E26" i="2" a="1"/>
  <c r="E51" i="2" a="1"/>
  <c r="E51" i="2" s="1"/>
  <c r="E52" i="2" a="1"/>
  <c r="E54" i="2" a="1"/>
  <c r="E40" i="2" a="1"/>
  <c r="E50" i="2" a="1"/>
  <c r="E61" i="2" a="1"/>
  <c r="E64" i="2" a="1"/>
  <c r="E11" i="2" a="1"/>
  <c r="E12" i="2" a="1"/>
  <c r="E12" i="2" s="1"/>
  <c r="E14" i="2" a="1"/>
  <c r="E31" i="2" a="1"/>
  <c r="E25" i="2" a="1"/>
  <c r="E5" i="2" a="1"/>
  <c r="E7" i="2" a="1"/>
  <c r="E17" i="2" a="1"/>
  <c r="E19" i="2" a="1"/>
  <c r="E20" i="2" a="1"/>
  <c r="E20" i="2" s="1"/>
  <c r="E22" i="2" a="1"/>
  <c r="E47" i="2" a="1"/>
  <c r="E41" i="2" a="1"/>
  <c r="E53" i="2" a="1"/>
  <c r="E58" i="2" a="1"/>
  <c r="E6" i="2" a="1"/>
  <c r="E9" i="2" a="1"/>
  <c r="AC43" i="2" a="1"/>
  <c r="AC43" i="2" s="1"/>
  <c r="Q43" i="2" a="1"/>
  <c r="Q43" i="2" s="1"/>
  <c r="AC59" i="2" a="1"/>
  <c r="AC59" i="2" s="1"/>
  <c r="AC29" i="2" a="1"/>
  <c r="AC29" i="2" s="1"/>
  <c r="AC12" i="2" a="1"/>
  <c r="AC12" i="2" s="1"/>
  <c r="AC33" i="2" a="1"/>
  <c r="AC33" i="2" s="1"/>
  <c r="AC30" i="2" a="1"/>
  <c r="AC30" i="2" s="1"/>
  <c r="AC25" i="2" a="1"/>
  <c r="AC25" i="2" s="1"/>
  <c r="AC48" i="2" a="1"/>
  <c r="AC48" i="2" s="1"/>
  <c r="AC70" i="2" a="1"/>
  <c r="AC70" i="2" s="1"/>
  <c r="Q24" i="2" a="1"/>
  <c r="Q24" i="2" s="1"/>
  <c r="Q46" i="2" a="1"/>
  <c r="Q46" i="2" s="1"/>
  <c r="Q50" i="2" a="1"/>
  <c r="Q50" i="2" s="1"/>
  <c r="Q15" i="2" a="1"/>
  <c r="Q15" i="2" s="1"/>
  <c r="Q31" i="2" a="1"/>
  <c r="Q31" i="2" s="1"/>
  <c r="Q11" i="2" a="1"/>
  <c r="Q11" i="2" s="1"/>
  <c r="Q51" i="2" a="1"/>
  <c r="Q51" i="2" s="1"/>
  <c r="AC26" i="2" a="1"/>
  <c r="AC26" i="2" s="1"/>
  <c r="AC55" i="2" a="1"/>
  <c r="AC55" i="2" s="1"/>
  <c r="AC66" i="2"/>
  <c r="AC66" i="2" a="1"/>
  <c r="AC22" i="2" a="1"/>
  <c r="AC22" i="2" s="1"/>
  <c r="AC61" i="2" a="1"/>
  <c r="AC61" i="2" s="1"/>
  <c r="AC9" i="2" a="1"/>
  <c r="AC9" i="2" s="1"/>
  <c r="AC71" i="2" a="1"/>
  <c r="AC71" i="2" s="1"/>
  <c r="AC47" i="2" a="1"/>
  <c r="AC47" i="2" s="1"/>
  <c r="AC46" i="2" a="1"/>
  <c r="AC46" i="2" s="1"/>
  <c r="Q17" i="2" a="1"/>
  <c r="Q17" i="2" s="1"/>
  <c r="Q44" i="2" a="1"/>
  <c r="Q44" i="2" s="1"/>
  <c r="Q6" i="2" a="1"/>
  <c r="Q6" i="2" s="1"/>
  <c r="Q53" i="2" a="1"/>
  <c r="Q53" i="2" s="1"/>
  <c r="Q33" i="2" a="1"/>
  <c r="Q33" i="2" s="1"/>
  <c r="Q10" i="2" a="1"/>
  <c r="Q10" i="2" s="1"/>
  <c r="Q25" i="2" a="1"/>
  <c r="Q25" i="2" s="1"/>
  <c r="Q45" i="2" a="1"/>
  <c r="Q45" i="2" s="1"/>
  <c r="AC56" i="2" a="1"/>
  <c r="AC56" i="2" s="1"/>
  <c r="AC44" i="2" a="1"/>
  <c r="AC44" i="2" s="1"/>
  <c r="Q57" i="2" a="1"/>
  <c r="Q57" i="2" s="1"/>
  <c r="AC4" i="2" a="1"/>
  <c r="AC4" i="2" s="1"/>
  <c r="AC16" i="2" a="1"/>
  <c r="AC16" i="2" s="1"/>
  <c r="AC18" i="2" a="1"/>
  <c r="AC18" i="2" s="1"/>
  <c r="AC32" i="2" a="1"/>
  <c r="AC32" i="2" s="1"/>
  <c r="Q39" i="2" a="1"/>
  <c r="Q39" i="2" s="1"/>
  <c r="Q37" i="2" a="1"/>
  <c r="Q37" i="2" s="1"/>
  <c r="Q35" i="2" a="1"/>
  <c r="Q35" i="2" s="1"/>
  <c r="Q48" i="2" a="1"/>
  <c r="Q48" i="2" s="1"/>
  <c r="Q4" i="2" a="1"/>
  <c r="Q4" i="2" s="1"/>
  <c r="Q16" i="2" a="1"/>
  <c r="Q16" i="2" s="1"/>
  <c r="Q59" i="2" a="1"/>
  <c r="Q59" i="2" s="1"/>
  <c r="Q22" i="2" a="1"/>
  <c r="Q22" i="2" s="1"/>
  <c r="AC21" i="2" a="1"/>
  <c r="AC21" i="2" s="1"/>
  <c r="AC8" i="2" a="1"/>
  <c r="AC8" i="2" s="1"/>
  <c r="AC57" i="2" a="1"/>
  <c r="AC57" i="2" s="1"/>
  <c r="AC37" i="2" a="1"/>
  <c r="AC37" i="2" s="1"/>
  <c r="AC10" i="2" a="1"/>
  <c r="AC10" i="2" s="1"/>
  <c r="AC6" i="2" a="1"/>
  <c r="AC6" i="2" s="1"/>
  <c r="AC11" i="2" a="1"/>
  <c r="AC11" i="2" s="1"/>
  <c r="AC42" i="2" a="1"/>
  <c r="AC42" i="2" s="1"/>
  <c r="AC34" i="2" a="1"/>
  <c r="AC34" i="2" s="1"/>
  <c r="Q62" i="2" a="1"/>
  <c r="Q62" i="2" s="1"/>
  <c r="Q36" i="2" a="1"/>
  <c r="Q36" i="2" s="1"/>
  <c r="Q49" i="2" a="1"/>
  <c r="Q49" i="2" s="1"/>
  <c r="Q47" i="2" a="1"/>
  <c r="Q47" i="2" s="1"/>
  <c r="Q9" i="2" a="1"/>
  <c r="Q9" i="2" s="1"/>
  <c r="Q32" i="2" a="1"/>
  <c r="Q32" i="2" s="1"/>
  <c r="Q23" i="2" a="1"/>
  <c r="Q23" i="2" s="1"/>
  <c r="Q55" i="2" a="1"/>
  <c r="Q55" i="2" s="1"/>
  <c r="Q38" i="2" a="1"/>
  <c r="Q38" i="2" s="1"/>
  <c r="AC62" i="2" a="1"/>
  <c r="AC62" i="2" s="1"/>
  <c r="Q61" i="2" a="1"/>
  <c r="Q61" i="2" s="1"/>
  <c r="AC67" i="2" a="1"/>
  <c r="AC67" i="2" s="1"/>
  <c r="AC19" i="2" a="1"/>
  <c r="AC19" i="2" s="1"/>
  <c r="AC65" i="2" a="1"/>
  <c r="AC65" i="2" s="1"/>
  <c r="Q18" i="2" a="1"/>
  <c r="Q18" i="2" s="1"/>
  <c r="Q34" i="2" a="1"/>
  <c r="Q34" i="2" s="1"/>
  <c r="Q21" i="2" a="1"/>
  <c r="Q21" i="2" s="1"/>
  <c r="Q29" i="2" a="1"/>
  <c r="Q29" i="2" s="1"/>
  <c r="Q42" i="2" a="1"/>
  <c r="Q42" i="2" s="1"/>
  <c r="AC24" i="2" a="1"/>
  <c r="AC24" i="2" s="1"/>
  <c r="Q20" i="2" a="1"/>
  <c r="Q20" i="2" s="1"/>
  <c r="AC15" i="2" a="1"/>
  <c r="AC15" i="2" s="1"/>
  <c r="AC69" i="2" a="1"/>
  <c r="AC69" i="2" s="1"/>
  <c r="Q28" i="2" a="1"/>
  <c r="Q28" i="2" s="1"/>
  <c r="Q14" i="2" a="1"/>
  <c r="Q14" i="2" s="1"/>
  <c r="Q8" i="2" a="1"/>
  <c r="Q8" i="2" s="1"/>
  <c r="Q41" i="2" a="1"/>
  <c r="Q41" i="2" s="1"/>
  <c r="AC73" i="2" a="1"/>
  <c r="AC73" i="2" s="1"/>
  <c r="AC28" i="2" a="1"/>
  <c r="AC28" i="2" s="1"/>
  <c r="AC75" i="2" a="1"/>
  <c r="AC75" i="2" s="1"/>
  <c r="AC39" i="2" a="1"/>
  <c r="AC39" i="2" s="1"/>
  <c r="AC36" i="2" a="1"/>
  <c r="AC36" i="2" s="1"/>
  <c r="AC20" i="2" a="1"/>
  <c r="AC20" i="2" s="1"/>
  <c r="AC54" i="2" a="1"/>
  <c r="AC54" i="2" s="1"/>
  <c r="AC58" i="2" a="1"/>
  <c r="AC58" i="2" s="1"/>
  <c r="AC45" i="2" a="1"/>
  <c r="AC45" i="2" s="1"/>
  <c r="AC5" i="2" a="1"/>
  <c r="AC5" i="2" s="1"/>
  <c r="AC27" i="2" a="1"/>
  <c r="AC27" i="2" s="1"/>
  <c r="Q19" i="2" a="1"/>
  <c r="Q19" i="2" s="1"/>
  <c r="Q12" i="2" a="1"/>
  <c r="Q12" i="2" s="1"/>
  <c r="AC23" i="2" a="1"/>
  <c r="AC23" i="2" s="1"/>
  <c r="AC40" i="2" a="1"/>
  <c r="AC40" i="2" s="1"/>
  <c r="AC7" i="2" a="1"/>
  <c r="AC7" i="2" s="1"/>
  <c r="AC31" i="2" a="1"/>
  <c r="AC31" i="2" s="1"/>
  <c r="AC51" i="2" a="1"/>
  <c r="AC51" i="2" s="1"/>
  <c r="AC50" i="2" a="1"/>
  <c r="AC50" i="2" s="1"/>
  <c r="AC72" i="2" a="1"/>
  <c r="AC72" i="2" s="1"/>
  <c r="AC63" i="2" a="1"/>
  <c r="AC63" i="2" s="1"/>
  <c r="AC68" i="2" a="1"/>
  <c r="AC68" i="2" s="1"/>
  <c r="Q40" i="2" a="1"/>
  <c r="Q40" i="2" s="1"/>
  <c r="Q5" i="2"/>
  <c r="Q5" i="2" a="1"/>
  <c r="Q60" i="2" a="1"/>
  <c r="Q60" i="2" s="1"/>
  <c r="Q7" i="2" a="1"/>
  <c r="Q7" i="2" s="1"/>
  <c r="Q13" i="2" a="1"/>
  <c r="Q13" i="2" s="1"/>
  <c r="Q27" i="2" a="1"/>
  <c r="Q27" i="2" s="1"/>
  <c r="Q54" i="2" a="1"/>
  <c r="Q54" i="2" s="1"/>
  <c r="AC53" i="2"/>
  <c r="AC53" i="2" a="1"/>
  <c r="AC38" i="2" a="1"/>
  <c r="AC38" i="2" s="1"/>
  <c r="AC52" i="2" a="1"/>
  <c r="AC52" i="2" s="1"/>
  <c r="AC49" i="2" a="1"/>
  <c r="AC49" i="2" s="1"/>
  <c r="AC64" i="2" a="1"/>
  <c r="AC64" i="2" s="1"/>
  <c r="AC74" i="2" a="1"/>
  <c r="AC74" i="2" s="1"/>
  <c r="AC14" i="2" a="1"/>
  <c r="AC14" i="2" s="1"/>
  <c r="Q58" i="2" a="1"/>
  <c r="Q58" i="2" s="1"/>
  <c r="Q56" i="2" a="1"/>
  <c r="Q56" i="2" s="1"/>
  <c r="Q52" i="2"/>
  <c r="Q52" i="2" a="1"/>
  <c r="Q26" i="2" a="1"/>
  <c r="Q26" i="2" s="1"/>
  <c r="AC60" i="2" a="1"/>
  <c r="AC60" i="2" s="1"/>
  <c r="AC41" i="2" a="1"/>
  <c r="AC41" i="2" s="1"/>
  <c r="AC13" i="2" a="1"/>
  <c r="AC13" i="2" s="1"/>
  <c r="AC17" i="2" a="1"/>
  <c r="AC17" i="2" s="1"/>
  <c r="Q30" i="2" a="1"/>
  <c r="Q30" i="2" s="1"/>
  <c r="AC35" i="2"/>
  <c r="AC35" i="2" a="1"/>
  <c r="E5" i="2"/>
  <c r="E24" i="2"/>
  <c r="E7" i="2"/>
  <c r="E64" i="2"/>
  <c r="E9" i="2"/>
  <c r="E10" i="2"/>
  <c r="E58" i="2"/>
  <c r="E19" i="2"/>
  <c r="E60" i="2"/>
  <c r="E21" i="2"/>
  <c r="E37" i="2"/>
  <c r="E53" i="2"/>
  <c r="E38" i="2"/>
  <c r="E55" i="2"/>
  <c r="E16" i="2"/>
  <c r="E33" i="2"/>
  <c r="E15" i="2"/>
  <c r="E62" i="2"/>
  <c r="E23" i="2"/>
  <c r="E63" i="2"/>
  <c r="E45" i="2"/>
  <c r="E39" i="2"/>
  <c r="E30" i="2"/>
  <c r="E26" i="2"/>
  <c r="E47" i="2"/>
  <c r="E31" i="2"/>
  <c r="E40" i="2"/>
  <c r="E17" i="2"/>
  <c r="E57" i="2"/>
  <c r="E34" i="2"/>
  <c r="E8" i="2"/>
  <c r="E61" i="2"/>
  <c r="E41" i="2"/>
  <c r="E59" i="2"/>
  <c r="E56" i="2"/>
  <c r="E35" i="2"/>
  <c r="E32" i="2"/>
  <c r="E54" i="2"/>
  <c r="E48" i="2"/>
  <c r="E50" i="2"/>
  <c r="E52" i="2"/>
  <c r="E27" i="2"/>
  <c r="E18" i="2"/>
  <c r="E13" i="2"/>
  <c r="E22" i="2"/>
  <c r="E11" i="2"/>
  <c r="E46" i="2"/>
  <c r="E49" i="2"/>
  <c r="E44" i="2"/>
  <c r="E6" i="2"/>
  <c r="E25" i="2"/>
  <c r="E14" i="2"/>
  <c r="E36" i="2"/>
  <c r="E29" i="2"/>
  <c r="B167" i="1"/>
  <c r="B166" i="1"/>
  <c r="B165" i="1"/>
  <c r="B164" i="1"/>
  <c r="B163" i="1"/>
  <c r="B162" i="1"/>
  <c r="B161" i="1"/>
  <c r="B160" i="1"/>
  <c r="B159" i="1"/>
  <c r="B158" i="1"/>
  <c r="B157" i="1"/>
  <c r="B156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0" i="1"/>
  <c r="B89" i="1"/>
  <c r="B88" i="1"/>
  <c r="B87" i="1"/>
  <c r="B86" i="1"/>
  <c r="B85" i="1"/>
  <c r="B84" i="1"/>
  <c r="B83" i="1"/>
  <c r="B75" i="1"/>
  <c r="B74" i="1"/>
  <c r="B73" i="1"/>
  <c r="B72" i="1"/>
  <c r="B71" i="1"/>
  <c r="B70" i="1"/>
  <c r="B69" i="1"/>
  <c r="B68" i="1"/>
  <c r="B67" i="1"/>
  <c r="B66" i="1"/>
  <c r="B65" i="1"/>
  <c r="B64" i="1"/>
  <c r="B60" i="1"/>
  <c r="B59" i="1"/>
  <c r="B58" i="1"/>
  <c r="B57" i="1"/>
  <c r="B56" i="1"/>
  <c r="B55" i="1"/>
  <c r="B54" i="1"/>
  <c r="B53" i="1"/>
  <c r="B52" i="1"/>
  <c r="B51" i="1"/>
  <c r="B50" i="1"/>
  <c r="B49" i="1"/>
  <c r="B45" i="1"/>
  <c r="B44" i="1"/>
  <c r="B43" i="1"/>
  <c r="B42" i="1"/>
  <c r="B41" i="1"/>
  <c r="B40" i="1"/>
  <c r="B39" i="1"/>
  <c r="B38" i="1"/>
  <c r="B37" i="1"/>
  <c r="B36" i="1"/>
  <c r="B35" i="1"/>
  <c r="B34" i="1"/>
  <c r="B30" i="1"/>
  <c r="B29" i="1"/>
  <c r="B28" i="1"/>
  <c r="B27" i="1"/>
  <c r="B26" i="1"/>
  <c r="B25" i="1"/>
  <c r="B24" i="1"/>
  <c r="B23" i="1"/>
  <c r="B22" i="1"/>
  <c r="B21" i="1"/>
  <c r="B20" i="1"/>
  <c r="B19" i="1"/>
  <c r="AQ48" i="2" a="1"/>
  <c r="AQ15" i="2" a="1"/>
  <c r="BC9" i="2" a="1"/>
  <c r="BC51" i="2" a="1"/>
  <c r="S33" i="2"/>
  <c r="G24" i="2"/>
  <c r="BC17" i="2" a="1"/>
  <c r="S42" i="2"/>
  <c r="S17" i="2"/>
  <c r="S35" i="2"/>
  <c r="BC12" i="2" a="1"/>
  <c r="AQ22" i="2" a="1"/>
  <c r="G60" i="2"/>
  <c r="AE61" i="2"/>
  <c r="S26" i="2"/>
  <c r="BC47" i="2" a="1"/>
  <c r="BC14" i="2" a="1"/>
  <c r="S44" i="2"/>
  <c r="AE18" i="2"/>
  <c r="BC40" i="2" a="1"/>
  <c r="S46" i="2"/>
  <c r="AQ55" i="2" a="1"/>
  <c r="AQ24" i="2" a="1"/>
  <c r="AE55" i="2"/>
  <c r="BC19" i="2" a="1"/>
  <c r="G29" i="2"/>
  <c r="S62" i="2"/>
  <c r="BC46" i="2" a="1"/>
  <c r="BC75" i="2" a="1"/>
  <c r="AQ10" i="2" a="1"/>
  <c r="BC43" i="2" a="1"/>
  <c r="BC56" i="2" a="1"/>
  <c r="AQ34" i="2" a="1"/>
  <c r="BC61" i="2" a="1"/>
  <c r="BC42" i="2" a="1"/>
  <c r="AQ50" i="2" a="1"/>
  <c r="AQ52" i="2" a="1"/>
  <c r="BC72" i="2" a="1"/>
  <c r="AQ42" i="2" a="1"/>
  <c r="AQ59" i="2" a="1"/>
  <c r="G17" i="2"/>
  <c r="AQ11" i="2" a="1"/>
  <c r="S37" i="2"/>
  <c r="S32" i="2"/>
  <c r="BC29" i="2" a="1"/>
  <c r="S53" i="2"/>
  <c r="S5" i="2"/>
  <c r="BC41" i="2" a="1"/>
  <c r="BC32" i="2" a="1"/>
  <c r="BC69" i="2" a="1"/>
  <c r="BC53" i="2" a="1"/>
  <c r="G55" i="2"/>
  <c r="BC49" i="2" a="1"/>
  <c r="S4" i="2"/>
  <c r="G51" i="2"/>
  <c r="BO6" i="2"/>
  <c r="AE27" i="2"/>
  <c r="AE5" i="2"/>
  <c r="AE26" i="2"/>
  <c r="AE39" i="2"/>
  <c r="AE75" i="2"/>
  <c r="AE11" i="2"/>
  <c r="AE66" i="2"/>
  <c r="AE43" i="2"/>
  <c r="AE51" i="2"/>
  <c r="AE17" i="2"/>
  <c r="AQ12" i="2" a="1"/>
  <c r="AE8" i="2"/>
  <c r="AE15" i="2"/>
  <c r="AQ49" i="2" a="1"/>
  <c r="AE57" i="2"/>
  <c r="AE64" i="2"/>
  <c r="G41" i="2"/>
  <c r="BC36" i="2" a="1"/>
  <c r="AQ38" i="2" a="1"/>
  <c r="BO8" i="2"/>
  <c r="AE72" i="2"/>
  <c r="BC54" i="2" a="1"/>
  <c r="AQ17" i="2" a="1"/>
  <c r="AQ27" i="2" a="1"/>
  <c r="BC18" i="2" a="1"/>
  <c r="AQ56" i="2" a="1"/>
  <c r="AQ19" i="2" a="1"/>
  <c r="G12" i="2"/>
  <c r="S8" i="2"/>
  <c r="AQ23" i="2" a="1"/>
  <c r="S25" i="2"/>
  <c r="G58" i="2"/>
  <c r="G54" i="2"/>
  <c r="AQ8" i="2" a="1"/>
  <c r="BC25" i="2" a="1"/>
  <c r="S30" i="2"/>
  <c r="G23" i="2"/>
  <c r="S34" i="2"/>
  <c r="S39" i="2"/>
  <c r="AQ39" i="2" a="1"/>
  <c r="S52" i="2"/>
  <c r="G45" i="2"/>
  <c r="S54" i="2"/>
  <c r="G25" i="2"/>
  <c r="G14" i="2"/>
  <c r="AQ46" i="2" a="1"/>
  <c r="BC76" i="2" a="1"/>
  <c r="S51" i="2"/>
  <c r="S28" i="2"/>
  <c r="AQ40" i="2" a="1"/>
  <c r="G18" i="2"/>
  <c r="BC62" i="2" a="1"/>
  <c r="BO7" i="2"/>
  <c r="AE45" i="2"/>
  <c r="AE36" i="2"/>
  <c r="AE68" i="2"/>
  <c r="AE73" i="2"/>
  <c r="AE34" i="2"/>
  <c r="AE58" i="2"/>
  <c r="AE42" i="2"/>
  <c r="AE60" i="2"/>
  <c r="AE19" i="2"/>
  <c r="S60" i="2"/>
  <c r="G49" i="2"/>
  <c r="AE21" i="2"/>
  <c r="AE33" i="2"/>
  <c r="AE41" i="2"/>
  <c r="AQ18" i="2" a="1"/>
  <c r="G7" i="2"/>
  <c r="AE71" i="2"/>
  <c r="AE44" i="2"/>
  <c r="BC39" i="2" a="1"/>
  <c r="AE6" i="2"/>
  <c r="AE63" i="2"/>
  <c r="G16" i="2"/>
  <c r="S45" i="2"/>
  <c r="S31" i="2"/>
  <c r="G31" i="2"/>
  <c r="BC68" i="2" a="1"/>
  <c r="AE46" i="2"/>
  <c r="S24" i="2"/>
  <c r="BC58" i="2" a="1"/>
  <c r="S43" i="2"/>
  <c r="AQ29" i="2" a="1"/>
  <c r="BC67" i="2" a="1"/>
  <c r="BC64" i="2" a="1"/>
  <c r="BC20" i="2" a="1"/>
  <c r="G50" i="2"/>
  <c r="AQ30" i="2" a="1"/>
  <c r="S48" i="2"/>
  <c r="S27" i="2"/>
  <c r="S11" i="2"/>
  <c r="BC60" i="2" a="1"/>
  <c r="G32" i="2"/>
  <c r="G34" i="2"/>
  <c r="G37" i="2"/>
  <c r="S10" i="2"/>
  <c r="BC30" i="2" a="1"/>
  <c r="BC78" i="2" a="1"/>
  <c r="BC77" i="2" a="1"/>
  <c r="S41" i="2"/>
  <c r="G22" i="2"/>
  <c r="S57" i="2"/>
  <c r="AQ44" i="2" a="1"/>
  <c r="AQ57" i="2" a="1"/>
  <c r="G20" i="2"/>
  <c r="AQ51" i="2" a="1"/>
  <c r="AQ58" i="2" a="1"/>
  <c r="G21" i="2"/>
  <c r="BC8" i="2" a="1"/>
  <c r="G27" i="2"/>
  <c r="BO5" i="2"/>
  <c r="AE24" i="2"/>
  <c r="AE67" i="2"/>
  <c r="AE53" i="2"/>
  <c r="AE28" i="2"/>
  <c r="AE69" i="2"/>
  <c r="AE25" i="2"/>
  <c r="AE59" i="2"/>
  <c r="AE56" i="2"/>
  <c r="G38" i="2"/>
  <c r="AQ20" i="2" a="1"/>
  <c r="BC13" i="2" a="1"/>
  <c r="S15" i="2"/>
  <c r="S29" i="2"/>
  <c r="BC27" i="2" a="1"/>
  <c r="BC37" i="2" a="1"/>
  <c r="AE16" i="2"/>
  <c r="AE48" i="2"/>
  <c r="AE50" i="2"/>
  <c r="G46" i="2"/>
  <c r="AQ41" i="2" a="1"/>
  <c r="AE54" i="2"/>
  <c r="S18" i="2"/>
  <c r="G39" i="2"/>
  <c r="AE38" i="2"/>
  <c r="S20" i="2"/>
  <c r="S49" i="2"/>
  <c r="AQ13" i="2" a="1"/>
  <c r="AQ26" i="2" a="1"/>
  <c r="AE10" i="2"/>
  <c r="AQ31" i="2" a="1"/>
  <c r="G28" i="2"/>
  <c r="BC33" i="2" a="1"/>
  <c r="G64" i="2"/>
  <c r="BC44" i="2" a="1"/>
  <c r="G33" i="2"/>
  <c r="G62" i="2"/>
  <c r="G53" i="2"/>
  <c r="G10" i="2"/>
  <c r="AQ7" i="2" a="1"/>
  <c r="BC23" i="2" a="1"/>
  <c r="G6" i="2"/>
  <c r="G8" i="2"/>
  <c r="G5" i="2"/>
  <c r="AQ5" i="2" a="1"/>
  <c r="AQ36" i="2" a="1"/>
  <c r="BC24" i="2" a="1"/>
  <c r="BC16" i="2" a="1"/>
  <c r="S55" i="2"/>
  <c r="BC74" i="2" a="1"/>
  <c r="AQ54" i="2" a="1"/>
  <c r="S16" i="2"/>
  <c r="AE14" i="2"/>
  <c r="AE40" i="2"/>
  <c r="S14" i="2"/>
  <c r="BC73" i="2" a="1"/>
  <c r="AE12" i="2"/>
  <c r="AE37" i="2"/>
  <c r="BC10" i="2" a="1"/>
  <c r="AE70" i="2"/>
  <c r="S23" i="2"/>
  <c r="S22" i="2"/>
  <c r="S59" i="2"/>
  <c r="AE29" i="2"/>
  <c r="AE31" i="2"/>
  <c r="AQ32" i="2" a="1"/>
  <c r="S12" i="2"/>
  <c r="AQ9" i="2" a="1"/>
  <c r="G59" i="2"/>
  <c r="S58" i="2"/>
  <c r="G57" i="2"/>
  <c r="S36" i="2"/>
  <c r="BC65" i="2" a="1"/>
  <c r="BC6" i="2" a="1"/>
  <c r="G30" i="2"/>
  <c r="S13" i="2"/>
  <c r="BC7" i="2" a="1"/>
  <c r="BC28" i="2" a="1"/>
  <c r="S50" i="2"/>
  <c r="BC34" i="2" a="1"/>
  <c r="G56" i="2"/>
  <c r="G43" i="2"/>
  <c r="BC71" i="2" a="1"/>
  <c r="BC63" i="2" a="1"/>
  <c r="G4" i="2"/>
  <c r="S38" i="2"/>
  <c r="S19" i="2"/>
  <c r="AQ33" i="2" a="1"/>
  <c r="AQ28" i="2" a="1"/>
  <c r="AE22" i="2"/>
  <c r="AE47" i="2"/>
  <c r="BC59" i="2" a="1"/>
  <c r="AQ6" i="2" a="1"/>
  <c r="AE13" i="2"/>
  <c r="G36" i="2"/>
  <c r="BC45" i="2" a="1"/>
  <c r="BC22" i="2" a="1"/>
  <c r="AQ21" i="2" a="1"/>
  <c r="AE7" i="2"/>
  <c r="BD79" i="1" a="1"/>
  <c r="G47" i="2"/>
  <c r="G35" i="2"/>
  <c r="S7" i="2"/>
  <c r="G13" i="2"/>
  <c r="BC50" i="2" a="1"/>
  <c r="BC35" i="2" a="1"/>
  <c r="BC52" i="2" a="1"/>
  <c r="BC31" i="2" a="1"/>
  <c r="S61" i="2"/>
  <c r="AQ37" i="2" a="1"/>
  <c r="G48" i="2"/>
  <c r="S47" i="2"/>
  <c r="S40" i="2"/>
  <c r="BC70" i="2" a="1"/>
  <c r="AQ53" i="2" a="1"/>
  <c r="G63" i="2"/>
  <c r="BC21" i="2" a="1"/>
  <c r="BC57" i="2" a="1"/>
  <c r="BC5" i="2" a="1"/>
  <c r="BC15" i="2" a="1"/>
  <c r="G15" i="2"/>
  <c r="BC26" i="2" a="1"/>
  <c r="S21" i="2"/>
  <c r="S56" i="2"/>
  <c r="G44" i="2"/>
  <c r="G40" i="2"/>
  <c r="AQ16" i="2" a="1"/>
  <c r="S9" i="2"/>
  <c r="BC48" i="2" a="1"/>
  <c r="G61" i="2"/>
  <c r="BC66" i="2" a="1"/>
  <c r="AE62" i="2"/>
  <c r="AE35" i="2"/>
  <c r="AE20" i="2"/>
  <c r="AE23" i="2"/>
  <c r="AE32" i="2"/>
  <c r="AE52" i="2"/>
  <c r="AE74" i="2"/>
  <c r="AE30" i="2"/>
  <c r="AE65" i="2"/>
  <c r="G52" i="2"/>
  <c r="G11" i="2"/>
  <c r="AQ45" i="2" a="1"/>
  <c r="AQ47" i="2" a="1"/>
  <c r="AQ14" i="2" a="1"/>
  <c r="AQ35" i="2" a="1"/>
  <c r="S6" i="2"/>
  <c r="BC11" i="2" a="1"/>
  <c r="G9" i="2"/>
  <c r="BC55" i="2" a="1"/>
  <c r="BC38" i="2" a="1"/>
  <c r="G26" i="2"/>
  <c r="AE49" i="2"/>
  <c r="AQ25" i="2" a="1"/>
  <c r="G42" i="2"/>
  <c r="AQ43" i="2" a="1"/>
  <c r="G19" i="2"/>
  <c r="AE9" i="2"/>
  <c r="BC65" i="2" l="1"/>
  <c r="AQ34" i="2"/>
  <c r="AQ11" i="2"/>
  <c r="BC71" i="2"/>
  <c r="AQ13" i="2"/>
  <c r="AQ6" i="2"/>
  <c r="AQ28" i="2"/>
  <c r="BC56" i="2"/>
  <c r="AQ7" i="2"/>
  <c r="BC21" i="2"/>
  <c r="BC66" i="2"/>
  <c r="BC24" i="2"/>
  <c r="AQ36" i="2"/>
  <c r="BC52" i="2"/>
  <c r="AQ41" i="2"/>
  <c r="AQ47" i="2"/>
  <c r="AQ58" i="2"/>
  <c r="BC20" i="2"/>
  <c r="BC37" i="2"/>
  <c r="BC30" i="2"/>
  <c r="BC43" i="2"/>
  <c r="BC31" i="2"/>
  <c r="BC62" i="2"/>
  <c r="AQ45" i="2"/>
  <c r="BC35" i="2"/>
  <c r="BC68" i="2"/>
  <c r="AQ21" i="2"/>
  <c r="BC39" i="2"/>
  <c r="BC29" i="2"/>
  <c r="AQ16" i="2"/>
  <c r="BC61" i="2"/>
  <c r="AQ59" i="2"/>
  <c r="BC64" i="2"/>
  <c r="AQ19" i="2"/>
  <c r="AQ55" i="2"/>
  <c r="BC45" i="2"/>
  <c r="BC12" i="2"/>
  <c r="AQ51" i="2"/>
  <c r="BC11" i="2"/>
  <c r="AQ10" i="2"/>
  <c r="BC53" i="2"/>
  <c r="AQ53" i="2"/>
  <c r="BC51" i="2"/>
  <c r="AQ26" i="2"/>
  <c r="BC34" i="2"/>
  <c r="BC50" i="2"/>
  <c r="BP5" i="2"/>
  <c r="BS8" i="2" s="1"/>
  <c r="AQ5" i="2"/>
  <c r="BC44" i="2"/>
  <c r="BC67" i="2"/>
  <c r="BC15" i="2"/>
  <c r="AQ54" i="2"/>
  <c r="AQ42" i="2"/>
  <c r="AQ56" i="2"/>
  <c r="BC75" i="2"/>
  <c r="BC36" i="2"/>
  <c r="AQ25" i="2"/>
  <c r="H4" i="2"/>
  <c r="K7" i="2" s="1"/>
  <c r="AH18" i="2" s="1"/>
  <c r="AI18" i="2" s="1"/>
  <c r="BY13" i="1" s="1"/>
  <c r="BC73" i="2"/>
  <c r="BC76" i="2"/>
  <c r="BC70" i="2"/>
  <c r="AQ20" i="2"/>
  <c r="BC69" i="2"/>
  <c r="BC77" i="2"/>
  <c r="AQ29" i="2"/>
  <c r="AF5" i="2"/>
  <c r="AI8" i="2" s="1"/>
  <c r="AH20" i="2" s="1"/>
  <c r="AI20" i="2" s="1"/>
  <c r="BY15" i="1" s="1"/>
  <c r="BC25" i="2"/>
  <c r="BC18" i="2"/>
  <c r="AQ12" i="2"/>
  <c r="BC46" i="2"/>
  <c r="BC6" i="2"/>
  <c r="BC72" i="2"/>
  <c r="BC8" i="2"/>
  <c r="AQ57" i="2"/>
  <c r="AQ46" i="2"/>
  <c r="BC9" i="2"/>
  <c r="BC32" i="2"/>
  <c r="BC28" i="2"/>
  <c r="T4" i="2"/>
  <c r="W7" i="2" s="1"/>
  <c r="AH19" i="2" s="1"/>
  <c r="AI19" i="2" s="1"/>
  <c r="BY14" i="1" s="1"/>
  <c r="AQ49" i="2"/>
  <c r="BC60" i="2"/>
  <c r="BC55" i="2"/>
  <c r="AQ8" i="2"/>
  <c r="AQ9" i="2"/>
  <c r="AQ52" i="2"/>
  <c r="BC33" i="2"/>
  <c r="AQ18" i="2"/>
  <c r="BC5" i="2"/>
  <c r="AQ35" i="2"/>
  <c r="AQ27" i="2"/>
  <c r="AQ30" i="2"/>
  <c r="AQ44" i="2"/>
  <c r="AQ24" i="2"/>
  <c r="BC63" i="2"/>
  <c r="BC7" i="2"/>
  <c r="AQ15" i="2"/>
  <c r="BC41" i="2"/>
  <c r="BC16" i="2"/>
  <c r="AQ38" i="2"/>
  <c r="BC48" i="2"/>
  <c r="BC78" i="2"/>
  <c r="BC59" i="2"/>
  <c r="AQ50" i="2"/>
  <c r="AQ39" i="2"/>
  <c r="AQ33" i="2"/>
  <c r="BC58" i="2"/>
  <c r="BC74" i="2"/>
  <c r="BC47" i="2"/>
  <c r="AQ17" i="2"/>
  <c r="BC17" i="2"/>
  <c r="BC27" i="2"/>
  <c r="BC23" i="2"/>
  <c r="BC22" i="2"/>
  <c r="AQ40" i="2"/>
  <c r="AQ22" i="2"/>
  <c r="BC26" i="2"/>
  <c r="AQ32" i="2"/>
  <c r="BC49" i="2"/>
  <c r="AQ31" i="2"/>
  <c r="AQ23" i="2"/>
  <c r="BC13" i="2"/>
  <c r="BC14" i="2"/>
  <c r="BC54" i="2"/>
  <c r="BC42" i="2"/>
  <c r="BC19" i="2"/>
  <c r="AQ43" i="2"/>
  <c r="AQ14" i="2"/>
  <c r="BC40" i="2"/>
  <c r="BC10" i="2"/>
  <c r="AQ37" i="2"/>
  <c r="AQ48" i="2"/>
  <c r="BC57" i="2"/>
  <c r="BC38" i="2"/>
  <c r="BD79" i="1"/>
  <c r="BD82" i="1"/>
  <c r="BE82" i="1" s="1"/>
  <c r="BD80" i="1"/>
  <c r="BE80" i="1" s="1"/>
  <c r="BD81" i="1"/>
  <c r="BE81" i="1" s="1"/>
  <c r="AD4" i="2"/>
  <c r="R4" i="2"/>
  <c r="F4" i="2"/>
  <c r="B4" i="1"/>
  <c r="B5" i="1"/>
  <c r="B6" i="1"/>
  <c r="B7" i="1"/>
  <c r="B8" i="1"/>
  <c r="B9" i="1"/>
  <c r="B10" i="1"/>
  <c r="B11" i="1"/>
  <c r="B12" i="1"/>
  <c r="B13" i="1"/>
  <c r="B14" i="1"/>
  <c r="B15" i="1"/>
  <c r="BK10" i="1"/>
  <c r="BK11" i="1" s="1"/>
  <c r="BK8" i="1" s="1"/>
  <c r="BH79" i="1"/>
  <c r="BD5" i="2" l="1"/>
  <c r="BG8" i="2" s="1"/>
  <c r="BR20" i="2" s="1"/>
  <c r="BS20" i="2" s="1"/>
  <c r="BY29" i="1" s="1"/>
  <c r="AR5" i="2"/>
  <c r="AU8" i="2" s="1"/>
  <c r="BR19" i="2" s="1"/>
  <c r="BS19" i="2" s="1"/>
  <c r="BY28" i="1" s="1"/>
  <c r="BE79" i="1"/>
  <c r="BF79" i="1" s="1"/>
  <c r="BG79" i="1" s="1"/>
  <c r="AG157" i="1"/>
  <c r="AG158" i="1"/>
  <c r="AG159" i="1"/>
  <c r="AG160" i="1"/>
  <c r="AG161" i="1"/>
  <c r="AG162" i="1"/>
  <c r="AG163" i="1"/>
  <c r="AG164" i="1"/>
  <c r="AG165" i="1"/>
  <c r="AG166" i="1"/>
  <c r="AG167" i="1"/>
  <c r="AG156" i="1"/>
  <c r="AG141" i="1"/>
  <c r="AF157" i="1"/>
  <c r="AF158" i="1"/>
  <c r="AF159" i="1"/>
  <c r="AF160" i="1"/>
  <c r="AF161" i="1"/>
  <c r="AF162" i="1"/>
  <c r="AF163" i="1"/>
  <c r="AF164" i="1"/>
  <c r="AF165" i="1"/>
  <c r="AF166" i="1"/>
  <c r="AF167" i="1"/>
  <c r="AF156" i="1"/>
  <c r="AF141" i="1"/>
  <c r="AD157" i="1"/>
  <c r="AD158" i="1"/>
  <c r="AD159" i="1"/>
  <c r="AD160" i="1"/>
  <c r="AD161" i="1"/>
  <c r="AD162" i="1"/>
  <c r="AD163" i="1"/>
  <c r="AD164" i="1"/>
  <c r="AD165" i="1"/>
  <c r="AD166" i="1"/>
  <c r="AD167" i="1"/>
  <c r="AD156" i="1"/>
  <c r="AD141" i="1"/>
  <c r="AC157" i="1"/>
  <c r="AC158" i="1"/>
  <c r="AC159" i="1"/>
  <c r="AC160" i="1"/>
  <c r="AC161" i="1"/>
  <c r="AC162" i="1"/>
  <c r="AC163" i="1"/>
  <c r="AC164" i="1"/>
  <c r="AC165" i="1"/>
  <c r="AC166" i="1"/>
  <c r="AC167" i="1"/>
  <c r="AC156" i="1"/>
  <c r="AC141" i="1"/>
  <c r="AG142" i="1"/>
  <c r="AG143" i="1"/>
  <c r="AG144" i="1"/>
  <c r="AG145" i="1"/>
  <c r="AG146" i="1"/>
  <c r="AG147" i="1"/>
  <c r="AG148" i="1"/>
  <c r="AG149" i="1"/>
  <c r="AG150" i="1"/>
  <c r="AG151" i="1"/>
  <c r="AG152" i="1"/>
  <c r="AG126" i="1"/>
  <c r="AF142" i="1"/>
  <c r="AF143" i="1"/>
  <c r="AF144" i="1"/>
  <c r="AF145" i="1"/>
  <c r="AF146" i="1"/>
  <c r="AF147" i="1"/>
  <c r="AF148" i="1"/>
  <c r="AF149" i="1"/>
  <c r="AF150" i="1"/>
  <c r="AF151" i="1"/>
  <c r="AF152" i="1"/>
  <c r="AF126" i="1"/>
  <c r="AG127" i="1"/>
  <c r="AG128" i="1"/>
  <c r="AG129" i="1"/>
  <c r="AG130" i="1"/>
  <c r="AG131" i="1"/>
  <c r="AG132" i="1"/>
  <c r="AG133" i="1"/>
  <c r="AG134" i="1"/>
  <c r="AG135" i="1"/>
  <c r="AG136" i="1"/>
  <c r="AG137" i="1"/>
  <c r="AG111" i="1"/>
  <c r="AF127" i="1"/>
  <c r="AF128" i="1"/>
  <c r="AF129" i="1"/>
  <c r="AF130" i="1"/>
  <c r="AF131" i="1"/>
  <c r="AF132" i="1"/>
  <c r="AF133" i="1"/>
  <c r="AF134" i="1"/>
  <c r="AF135" i="1"/>
  <c r="AF136" i="1"/>
  <c r="AF137" i="1"/>
  <c r="AF111" i="1"/>
  <c r="AG112" i="1"/>
  <c r="AG113" i="1"/>
  <c r="AG114" i="1"/>
  <c r="AG115" i="1"/>
  <c r="AG116" i="1"/>
  <c r="AG117" i="1"/>
  <c r="AG118" i="1"/>
  <c r="AG119" i="1"/>
  <c r="AG120" i="1"/>
  <c r="AG121" i="1"/>
  <c r="AG122" i="1"/>
  <c r="AG96" i="1"/>
  <c r="AF112" i="1"/>
  <c r="AF113" i="1"/>
  <c r="AF114" i="1"/>
  <c r="AF115" i="1"/>
  <c r="AF116" i="1"/>
  <c r="AF117" i="1"/>
  <c r="AF118" i="1"/>
  <c r="AF119" i="1"/>
  <c r="AF120" i="1"/>
  <c r="AF121" i="1"/>
  <c r="AF122" i="1"/>
  <c r="AF96" i="1"/>
  <c r="AG97" i="1"/>
  <c r="AG98" i="1"/>
  <c r="AG99" i="1"/>
  <c r="AG100" i="1"/>
  <c r="AG101" i="1"/>
  <c r="AG102" i="1"/>
  <c r="AG103" i="1"/>
  <c r="AG104" i="1"/>
  <c r="AG105" i="1"/>
  <c r="AG106" i="1"/>
  <c r="AG107" i="1"/>
  <c r="AG64" i="1"/>
  <c r="AF97" i="1"/>
  <c r="AF98" i="1"/>
  <c r="AF99" i="1"/>
  <c r="AF100" i="1"/>
  <c r="AF101" i="1"/>
  <c r="AF102" i="1"/>
  <c r="AF103" i="1"/>
  <c r="AF104" i="1"/>
  <c r="AF105" i="1"/>
  <c r="AF106" i="1"/>
  <c r="AF107" i="1"/>
  <c r="AF64" i="1"/>
  <c r="AD142" i="1"/>
  <c r="AD143" i="1"/>
  <c r="AD144" i="1"/>
  <c r="AD145" i="1"/>
  <c r="AD146" i="1"/>
  <c r="AD147" i="1"/>
  <c r="AD148" i="1"/>
  <c r="AD149" i="1"/>
  <c r="AD150" i="1"/>
  <c r="AD151" i="1"/>
  <c r="AD152" i="1"/>
  <c r="AD126" i="1"/>
  <c r="AC142" i="1"/>
  <c r="AC143" i="1"/>
  <c r="AC144" i="1"/>
  <c r="AC145" i="1"/>
  <c r="AC146" i="1"/>
  <c r="AC147" i="1"/>
  <c r="AC148" i="1"/>
  <c r="AC149" i="1"/>
  <c r="AC150" i="1"/>
  <c r="AC151" i="1"/>
  <c r="AC152" i="1"/>
  <c r="AC126" i="1"/>
  <c r="AD127" i="1"/>
  <c r="AD128" i="1"/>
  <c r="AD129" i="1"/>
  <c r="AD130" i="1"/>
  <c r="AD131" i="1"/>
  <c r="AD132" i="1"/>
  <c r="AD133" i="1"/>
  <c r="AD134" i="1"/>
  <c r="AD135" i="1"/>
  <c r="AD136" i="1"/>
  <c r="AD137" i="1"/>
  <c r="AD111" i="1"/>
  <c r="AC127" i="1"/>
  <c r="AC128" i="1"/>
  <c r="AC129" i="1"/>
  <c r="AC130" i="1"/>
  <c r="AC131" i="1"/>
  <c r="AC132" i="1"/>
  <c r="AC133" i="1"/>
  <c r="AC134" i="1"/>
  <c r="AC135" i="1"/>
  <c r="AC136" i="1"/>
  <c r="AC137" i="1"/>
  <c r="AC111" i="1"/>
  <c r="AD112" i="1"/>
  <c r="AD113" i="1"/>
  <c r="AD114" i="1"/>
  <c r="AD115" i="1"/>
  <c r="AD116" i="1"/>
  <c r="AD117" i="1"/>
  <c r="AD118" i="1"/>
  <c r="AD119" i="1"/>
  <c r="AD120" i="1"/>
  <c r="AD121" i="1"/>
  <c r="AD122" i="1"/>
  <c r="AD96" i="1"/>
  <c r="AC112" i="1"/>
  <c r="AC113" i="1"/>
  <c r="AC114" i="1"/>
  <c r="AC115" i="1"/>
  <c r="AC116" i="1"/>
  <c r="AC117" i="1"/>
  <c r="AC118" i="1"/>
  <c r="AC119" i="1"/>
  <c r="AC120" i="1"/>
  <c r="AC121" i="1"/>
  <c r="AC122" i="1"/>
  <c r="AC96" i="1"/>
  <c r="AD97" i="1"/>
  <c r="AD98" i="1"/>
  <c r="AD99" i="1"/>
  <c r="AD100" i="1"/>
  <c r="AD101" i="1"/>
  <c r="AD102" i="1"/>
  <c r="AD103" i="1"/>
  <c r="AD104" i="1"/>
  <c r="AD105" i="1"/>
  <c r="AD106" i="1"/>
  <c r="AD107" i="1"/>
  <c r="AC97" i="1"/>
  <c r="AC98" i="1"/>
  <c r="AC99" i="1"/>
  <c r="AC100" i="1"/>
  <c r="AC101" i="1"/>
  <c r="AC102" i="1"/>
  <c r="AC103" i="1"/>
  <c r="AC104" i="1"/>
  <c r="AC105" i="1"/>
  <c r="AC106" i="1"/>
  <c r="AC107" i="1"/>
  <c r="AD64" i="1"/>
  <c r="AC64" i="1"/>
  <c r="AA157" i="1"/>
  <c r="AA158" i="1"/>
  <c r="AA159" i="1"/>
  <c r="AA160" i="1"/>
  <c r="AA161" i="1"/>
  <c r="AA162" i="1"/>
  <c r="AA163" i="1"/>
  <c r="AA164" i="1"/>
  <c r="AA165" i="1"/>
  <c r="AA166" i="1"/>
  <c r="AA167" i="1"/>
  <c r="AA156" i="1"/>
  <c r="AA141" i="1"/>
  <c r="Z157" i="1"/>
  <c r="Z158" i="1"/>
  <c r="Z159" i="1"/>
  <c r="Z160" i="1"/>
  <c r="Z161" i="1"/>
  <c r="Z162" i="1"/>
  <c r="Z163" i="1"/>
  <c r="Z164" i="1"/>
  <c r="Z165" i="1"/>
  <c r="Z166" i="1"/>
  <c r="Z167" i="1"/>
  <c r="Z156" i="1"/>
  <c r="Z141" i="1"/>
  <c r="AA142" i="1"/>
  <c r="AA143" i="1"/>
  <c r="AA144" i="1"/>
  <c r="AA145" i="1"/>
  <c r="AA146" i="1"/>
  <c r="AA147" i="1"/>
  <c r="AA148" i="1"/>
  <c r="AA149" i="1"/>
  <c r="AA150" i="1"/>
  <c r="AA151" i="1"/>
  <c r="AA152" i="1"/>
  <c r="AA126" i="1"/>
  <c r="Z142" i="1"/>
  <c r="Z143" i="1"/>
  <c r="Z144" i="1"/>
  <c r="Z145" i="1"/>
  <c r="Z146" i="1"/>
  <c r="Z147" i="1"/>
  <c r="Z148" i="1"/>
  <c r="Z149" i="1"/>
  <c r="Z150" i="1"/>
  <c r="Z151" i="1"/>
  <c r="Z152" i="1"/>
  <c r="Z126" i="1"/>
  <c r="AP64" i="1" l="1"/>
  <c r="AR64" i="1" s="1"/>
  <c r="AX64" i="1" s="1"/>
  <c r="U64" i="1"/>
  <c r="W64" i="1"/>
  <c r="AQ64" i="1"/>
  <c r="AS64" i="1" s="1"/>
  <c r="AY64" i="1" s="1"/>
  <c r="C238" i="1" s="1"/>
  <c r="V64" i="1"/>
  <c r="X64" i="1"/>
  <c r="AJ64" i="1"/>
  <c r="AI64" i="1"/>
  <c r="Q4" i="1"/>
  <c r="AG65" i="1"/>
  <c r="AG66" i="1"/>
  <c r="AG67" i="1"/>
  <c r="AG68" i="1"/>
  <c r="AG69" i="1"/>
  <c r="AG70" i="1"/>
  <c r="AG71" i="1"/>
  <c r="AG72" i="1"/>
  <c r="AG73" i="1"/>
  <c r="AG74" i="1"/>
  <c r="AG75" i="1"/>
  <c r="AG49" i="1"/>
  <c r="AU49" i="1" s="1"/>
  <c r="AW49" i="1" s="1"/>
  <c r="AF65" i="1"/>
  <c r="AF66" i="1"/>
  <c r="AF67" i="1"/>
  <c r="AF68" i="1"/>
  <c r="AF69" i="1"/>
  <c r="AF70" i="1"/>
  <c r="AF71" i="1"/>
  <c r="AF72" i="1"/>
  <c r="AF73" i="1"/>
  <c r="AF74" i="1"/>
  <c r="AF75" i="1"/>
  <c r="AF49" i="1"/>
  <c r="AT49" i="1" s="1"/>
  <c r="AV49" i="1" s="1"/>
  <c r="AG50" i="1"/>
  <c r="AU50" i="1" s="1"/>
  <c r="AW50" i="1" s="1"/>
  <c r="AG51" i="1"/>
  <c r="AU51" i="1" s="1"/>
  <c r="AW51" i="1" s="1"/>
  <c r="AG52" i="1"/>
  <c r="AU52" i="1" s="1"/>
  <c r="AW52" i="1" s="1"/>
  <c r="AG53" i="1"/>
  <c r="AU53" i="1" s="1"/>
  <c r="AW53" i="1" s="1"/>
  <c r="AG54" i="1"/>
  <c r="AU54" i="1" s="1"/>
  <c r="AW54" i="1" s="1"/>
  <c r="AG55" i="1"/>
  <c r="AU55" i="1" s="1"/>
  <c r="AW55" i="1" s="1"/>
  <c r="AG56" i="1"/>
  <c r="AU56" i="1" s="1"/>
  <c r="AW56" i="1" s="1"/>
  <c r="AG57" i="1"/>
  <c r="AU57" i="1" s="1"/>
  <c r="AW57" i="1" s="1"/>
  <c r="AG58" i="1"/>
  <c r="AU58" i="1" s="1"/>
  <c r="AW58" i="1" s="1"/>
  <c r="AG59" i="1"/>
  <c r="AU59" i="1" s="1"/>
  <c r="AW59" i="1" s="1"/>
  <c r="AG60" i="1"/>
  <c r="AU60" i="1" s="1"/>
  <c r="AW60" i="1" s="1"/>
  <c r="AG34" i="1"/>
  <c r="AU34" i="1" s="1"/>
  <c r="AW34" i="1" s="1"/>
  <c r="AF50" i="1"/>
  <c r="AT50" i="1" s="1"/>
  <c r="AV50" i="1" s="1"/>
  <c r="AF51" i="1"/>
  <c r="AT51" i="1" s="1"/>
  <c r="AV51" i="1" s="1"/>
  <c r="AF52" i="1"/>
  <c r="AT52" i="1" s="1"/>
  <c r="AV52" i="1" s="1"/>
  <c r="AF53" i="1"/>
  <c r="AT53" i="1" s="1"/>
  <c r="AV53" i="1" s="1"/>
  <c r="AF54" i="1"/>
  <c r="AT54" i="1" s="1"/>
  <c r="AV54" i="1" s="1"/>
  <c r="AF55" i="1"/>
  <c r="AT55" i="1" s="1"/>
  <c r="AV55" i="1" s="1"/>
  <c r="AF56" i="1"/>
  <c r="AT56" i="1" s="1"/>
  <c r="AV56" i="1" s="1"/>
  <c r="AF57" i="1"/>
  <c r="AT57" i="1" s="1"/>
  <c r="AV57" i="1" s="1"/>
  <c r="AF58" i="1"/>
  <c r="AT58" i="1" s="1"/>
  <c r="AV58" i="1" s="1"/>
  <c r="AF59" i="1"/>
  <c r="AT59" i="1" s="1"/>
  <c r="AV59" i="1" s="1"/>
  <c r="AF60" i="1"/>
  <c r="AT60" i="1" s="1"/>
  <c r="AV60" i="1" s="1"/>
  <c r="AF34" i="1"/>
  <c r="AT34" i="1" s="1"/>
  <c r="AV34" i="1" s="1"/>
  <c r="AG35" i="1"/>
  <c r="AU35" i="1" s="1"/>
  <c r="AW35" i="1" s="1"/>
  <c r="AG36" i="1"/>
  <c r="AU36" i="1" s="1"/>
  <c r="AW36" i="1" s="1"/>
  <c r="AG37" i="1"/>
  <c r="AU37" i="1" s="1"/>
  <c r="AW37" i="1" s="1"/>
  <c r="AG38" i="1"/>
  <c r="AU38" i="1" s="1"/>
  <c r="AW38" i="1" s="1"/>
  <c r="AG39" i="1"/>
  <c r="AU39" i="1" s="1"/>
  <c r="AW39" i="1" s="1"/>
  <c r="AG40" i="1"/>
  <c r="AU40" i="1" s="1"/>
  <c r="AW40" i="1" s="1"/>
  <c r="AG41" i="1"/>
  <c r="AU41" i="1" s="1"/>
  <c r="AW41" i="1" s="1"/>
  <c r="AG42" i="1"/>
  <c r="AU42" i="1" s="1"/>
  <c r="AW42" i="1" s="1"/>
  <c r="AG43" i="1"/>
  <c r="AU43" i="1" s="1"/>
  <c r="AW43" i="1" s="1"/>
  <c r="AG44" i="1"/>
  <c r="AU44" i="1" s="1"/>
  <c r="AW44" i="1" s="1"/>
  <c r="AG45" i="1"/>
  <c r="AU45" i="1" s="1"/>
  <c r="AW45" i="1" s="1"/>
  <c r="AG19" i="1"/>
  <c r="AU19" i="1" s="1"/>
  <c r="AW19" i="1" s="1"/>
  <c r="AF35" i="1"/>
  <c r="AT35" i="1" s="1"/>
  <c r="AV35" i="1" s="1"/>
  <c r="AF36" i="1"/>
  <c r="AT36" i="1" s="1"/>
  <c r="AV36" i="1" s="1"/>
  <c r="AF37" i="1"/>
  <c r="AT37" i="1" s="1"/>
  <c r="AV37" i="1" s="1"/>
  <c r="AF38" i="1"/>
  <c r="AT38" i="1" s="1"/>
  <c r="AV38" i="1" s="1"/>
  <c r="AF39" i="1"/>
  <c r="AT39" i="1" s="1"/>
  <c r="AV39" i="1" s="1"/>
  <c r="AF40" i="1"/>
  <c r="AT40" i="1" s="1"/>
  <c r="AV40" i="1" s="1"/>
  <c r="AF41" i="1"/>
  <c r="AT41" i="1" s="1"/>
  <c r="AV41" i="1" s="1"/>
  <c r="AF42" i="1"/>
  <c r="AT42" i="1" s="1"/>
  <c r="AV42" i="1" s="1"/>
  <c r="AF43" i="1"/>
  <c r="AT43" i="1" s="1"/>
  <c r="AV43" i="1" s="1"/>
  <c r="AF44" i="1"/>
  <c r="AT44" i="1" s="1"/>
  <c r="AV44" i="1" s="1"/>
  <c r="AF45" i="1"/>
  <c r="AT45" i="1" s="1"/>
  <c r="AV45" i="1" s="1"/>
  <c r="AF19" i="1"/>
  <c r="AT19" i="1" s="1"/>
  <c r="AV19" i="1" s="1"/>
  <c r="AG20" i="1"/>
  <c r="AU20" i="1" s="1"/>
  <c r="AW20" i="1" s="1"/>
  <c r="AG21" i="1"/>
  <c r="AU21" i="1" s="1"/>
  <c r="AW21" i="1" s="1"/>
  <c r="AG22" i="1"/>
  <c r="AU22" i="1" s="1"/>
  <c r="AW22" i="1" s="1"/>
  <c r="AG23" i="1"/>
  <c r="AU23" i="1" s="1"/>
  <c r="AW23" i="1" s="1"/>
  <c r="AG24" i="1"/>
  <c r="AU24" i="1" s="1"/>
  <c r="AW24" i="1" s="1"/>
  <c r="AG25" i="1"/>
  <c r="AU25" i="1" s="1"/>
  <c r="AW25" i="1" s="1"/>
  <c r="AG26" i="1"/>
  <c r="AU26" i="1" s="1"/>
  <c r="AW26" i="1" s="1"/>
  <c r="AG27" i="1"/>
  <c r="AU27" i="1" s="1"/>
  <c r="AW27" i="1" s="1"/>
  <c r="AG28" i="1"/>
  <c r="AU28" i="1" s="1"/>
  <c r="AW28" i="1" s="1"/>
  <c r="AG29" i="1"/>
  <c r="AU29" i="1" s="1"/>
  <c r="AW29" i="1" s="1"/>
  <c r="AG30" i="1"/>
  <c r="AU30" i="1" s="1"/>
  <c r="AW30" i="1" s="1"/>
  <c r="AG4" i="1"/>
  <c r="AU4" i="1" s="1"/>
  <c r="AW4" i="1" s="1"/>
  <c r="AF20" i="1"/>
  <c r="AT20" i="1" s="1"/>
  <c r="AV20" i="1" s="1"/>
  <c r="AF21" i="1"/>
  <c r="AT21" i="1" s="1"/>
  <c r="AV21" i="1" s="1"/>
  <c r="AF22" i="1"/>
  <c r="AT22" i="1" s="1"/>
  <c r="AV22" i="1" s="1"/>
  <c r="AF23" i="1"/>
  <c r="AT23" i="1" s="1"/>
  <c r="AV23" i="1" s="1"/>
  <c r="AF24" i="1"/>
  <c r="AT24" i="1" s="1"/>
  <c r="AV24" i="1" s="1"/>
  <c r="AF25" i="1"/>
  <c r="AT25" i="1" s="1"/>
  <c r="AV25" i="1" s="1"/>
  <c r="AF26" i="1"/>
  <c r="AT26" i="1" s="1"/>
  <c r="AV26" i="1" s="1"/>
  <c r="AF27" i="1"/>
  <c r="AT27" i="1" s="1"/>
  <c r="AV27" i="1" s="1"/>
  <c r="AF28" i="1"/>
  <c r="AT28" i="1" s="1"/>
  <c r="AV28" i="1" s="1"/>
  <c r="AF29" i="1"/>
  <c r="AT29" i="1" s="1"/>
  <c r="AV29" i="1" s="1"/>
  <c r="AF30" i="1"/>
  <c r="AT30" i="1" s="1"/>
  <c r="AV30" i="1" s="1"/>
  <c r="AF4" i="1"/>
  <c r="AT4" i="1" s="1"/>
  <c r="AV4" i="1" s="1"/>
  <c r="AG5" i="1"/>
  <c r="AU5" i="1" s="1"/>
  <c r="AW5" i="1" s="1"/>
  <c r="AG6" i="1"/>
  <c r="AU6" i="1" s="1"/>
  <c r="AW6" i="1" s="1"/>
  <c r="AG7" i="1"/>
  <c r="AU7" i="1" s="1"/>
  <c r="AW7" i="1" s="1"/>
  <c r="AG8" i="1"/>
  <c r="AU8" i="1" s="1"/>
  <c r="AW8" i="1" s="1"/>
  <c r="AG9" i="1"/>
  <c r="AU9" i="1" s="1"/>
  <c r="AW9" i="1" s="1"/>
  <c r="AG10" i="1"/>
  <c r="AU10" i="1" s="1"/>
  <c r="AW10" i="1" s="1"/>
  <c r="AG11" i="1"/>
  <c r="AU11" i="1" s="1"/>
  <c r="AW11" i="1" s="1"/>
  <c r="AG12" i="1"/>
  <c r="AU12" i="1" s="1"/>
  <c r="AW12" i="1" s="1"/>
  <c r="AG13" i="1"/>
  <c r="AU13" i="1" s="1"/>
  <c r="AW13" i="1" s="1"/>
  <c r="AG14" i="1"/>
  <c r="AU14" i="1" s="1"/>
  <c r="AW14" i="1" s="1"/>
  <c r="AG15" i="1"/>
  <c r="AU15" i="1" s="1"/>
  <c r="AW15" i="1" s="1"/>
  <c r="AD4" i="1"/>
  <c r="AQ4" i="1" s="1"/>
  <c r="AS4" i="1" s="1"/>
  <c r="AF5" i="1"/>
  <c r="AT5" i="1" s="1"/>
  <c r="AV5" i="1" s="1"/>
  <c r="AF6" i="1"/>
  <c r="AT6" i="1" s="1"/>
  <c r="AV6" i="1" s="1"/>
  <c r="AF7" i="1"/>
  <c r="AT7" i="1" s="1"/>
  <c r="AV7" i="1" s="1"/>
  <c r="AF8" i="1"/>
  <c r="AT8" i="1" s="1"/>
  <c r="AV8" i="1" s="1"/>
  <c r="AF9" i="1"/>
  <c r="AT9" i="1" s="1"/>
  <c r="AV9" i="1" s="1"/>
  <c r="AF10" i="1"/>
  <c r="AT10" i="1" s="1"/>
  <c r="AV10" i="1" s="1"/>
  <c r="AF11" i="1"/>
  <c r="AT11" i="1" s="1"/>
  <c r="AV11" i="1" s="1"/>
  <c r="AF12" i="1"/>
  <c r="AT12" i="1" s="1"/>
  <c r="AV12" i="1" s="1"/>
  <c r="AF13" i="1"/>
  <c r="AT13" i="1" s="1"/>
  <c r="AV13" i="1" s="1"/>
  <c r="AF14" i="1"/>
  <c r="AT14" i="1" s="1"/>
  <c r="AV14" i="1" s="1"/>
  <c r="AF15" i="1"/>
  <c r="AT15" i="1" s="1"/>
  <c r="AV15" i="1" s="1"/>
  <c r="AC4" i="1"/>
  <c r="AP4" i="1" s="1"/>
  <c r="AR4" i="1" s="1"/>
  <c r="AD65" i="1"/>
  <c r="AQ65" i="1" s="1"/>
  <c r="AS65" i="1" s="1"/>
  <c r="AD66" i="1"/>
  <c r="AD67" i="1"/>
  <c r="AD68" i="1"/>
  <c r="AD69" i="1"/>
  <c r="AD70" i="1"/>
  <c r="AD71" i="1"/>
  <c r="AD72" i="1"/>
  <c r="AD73" i="1"/>
  <c r="AD74" i="1"/>
  <c r="AD75" i="1"/>
  <c r="AD49" i="1"/>
  <c r="AQ49" i="1" s="1"/>
  <c r="AS49" i="1" s="1"/>
  <c r="AC65" i="1"/>
  <c r="AP65" i="1" s="1"/>
  <c r="AR65" i="1" s="1"/>
  <c r="AC66" i="1"/>
  <c r="AC67" i="1"/>
  <c r="AC68" i="1"/>
  <c r="AC69" i="1"/>
  <c r="AC70" i="1"/>
  <c r="AC71" i="1"/>
  <c r="AC72" i="1"/>
  <c r="AC73" i="1"/>
  <c r="AC74" i="1"/>
  <c r="AC75" i="1"/>
  <c r="AC49" i="1"/>
  <c r="AP49" i="1" s="1"/>
  <c r="AR49" i="1" s="1"/>
  <c r="AD50" i="1"/>
  <c r="AQ50" i="1" s="1"/>
  <c r="AS50" i="1" s="1"/>
  <c r="AD51" i="1"/>
  <c r="AQ51" i="1" s="1"/>
  <c r="AS51" i="1" s="1"/>
  <c r="AD52" i="1"/>
  <c r="AQ52" i="1" s="1"/>
  <c r="AS52" i="1" s="1"/>
  <c r="AD53" i="1"/>
  <c r="AQ53" i="1" s="1"/>
  <c r="AS53" i="1" s="1"/>
  <c r="AD54" i="1"/>
  <c r="AQ54" i="1" s="1"/>
  <c r="AS54" i="1" s="1"/>
  <c r="AD55" i="1"/>
  <c r="AQ55" i="1" s="1"/>
  <c r="AS55" i="1" s="1"/>
  <c r="AD56" i="1"/>
  <c r="AQ56" i="1" s="1"/>
  <c r="AS56" i="1" s="1"/>
  <c r="AD57" i="1"/>
  <c r="AQ57" i="1" s="1"/>
  <c r="AS57" i="1" s="1"/>
  <c r="AD58" i="1"/>
  <c r="AQ58" i="1" s="1"/>
  <c r="AS58" i="1" s="1"/>
  <c r="AD59" i="1"/>
  <c r="AQ59" i="1" s="1"/>
  <c r="AS59" i="1" s="1"/>
  <c r="AD60" i="1"/>
  <c r="AQ60" i="1" s="1"/>
  <c r="AS60" i="1" s="1"/>
  <c r="AD34" i="1"/>
  <c r="AQ34" i="1" s="1"/>
  <c r="AS34" i="1" s="1"/>
  <c r="AY34" i="1" s="1"/>
  <c r="AC50" i="1"/>
  <c r="AP50" i="1" s="1"/>
  <c r="AR50" i="1" s="1"/>
  <c r="AC51" i="1"/>
  <c r="AP51" i="1" s="1"/>
  <c r="AR51" i="1" s="1"/>
  <c r="AC52" i="1"/>
  <c r="AP52" i="1" s="1"/>
  <c r="AR52" i="1" s="1"/>
  <c r="AC53" i="1"/>
  <c r="AP53" i="1" s="1"/>
  <c r="AR53" i="1" s="1"/>
  <c r="AC54" i="1"/>
  <c r="AP54" i="1" s="1"/>
  <c r="AR54" i="1" s="1"/>
  <c r="AC55" i="1"/>
  <c r="AP55" i="1" s="1"/>
  <c r="AR55" i="1" s="1"/>
  <c r="AC56" i="1"/>
  <c r="AP56" i="1" s="1"/>
  <c r="AR56" i="1" s="1"/>
  <c r="AC57" i="1"/>
  <c r="AP57" i="1" s="1"/>
  <c r="AR57" i="1" s="1"/>
  <c r="AC58" i="1"/>
  <c r="AP58" i="1" s="1"/>
  <c r="AR58" i="1" s="1"/>
  <c r="AC59" i="1"/>
  <c r="AP59" i="1" s="1"/>
  <c r="AR59" i="1" s="1"/>
  <c r="AC60" i="1"/>
  <c r="AP60" i="1" s="1"/>
  <c r="AR60" i="1" s="1"/>
  <c r="AC34" i="1"/>
  <c r="AP34" i="1" s="1"/>
  <c r="AR34" i="1" s="1"/>
  <c r="AD35" i="1"/>
  <c r="AQ35" i="1" s="1"/>
  <c r="AS35" i="1" s="1"/>
  <c r="AD36" i="1"/>
  <c r="AQ36" i="1" s="1"/>
  <c r="AS36" i="1" s="1"/>
  <c r="AD37" i="1"/>
  <c r="AQ37" i="1" s="1"/>
  <c r="AS37" i="1" s="1"/>
  <c r="AD38" i="1"/>
  <c r="AQ38" i="1" s="1"/>
  <c r="AS38" i="1" s="1"/>
  <c r="AD39" i="1"/>
  <c r="AQ39" i="1" s="1"/>
  <c r="AS39" i="1" s="1"/>
  <c r="AD40" i="1"/>
  <c r="AQ40" i="1" s="1"/>
  <c r="AS40" i="1" s="1"/>
  <c r="AD41" i="1"/>
  <c r="AQ41" i="1" s="1"/>
  <c r="AS41" i="1" s="1"/>
  <c r="AD42" i="1"/>
  <c r="AQ42" i="1" s="1"/>
  <c r="AS42" i="1" s="1"/>
  <c r="AD43" i="1"/>
  <c r="AQ43" i="1" s="1"/>
  <c r="AS43" i="1" s="1"/>
  <c r="AD44" i="1"/>
  <c r="AQ44" i="1" s="1"/>
  <c r="AS44" i="1" s="1"/>
  <c r="AD45" i="1"/>
  <c r="AQ45" i="1" s="1"/>
  <c r="AS45" i="1" s="1"/>
  <c r="AD19" i="1"/>
  <c r="AQ19" i="1" s="1"/>
  <c r="AS19" i="1" s="1"/>
  <c r="AC35" i="1"/>
  <c r="AP35" i="1" s="1"/>
  <c r="AR35" i="1" s="1"/>
  <c r="AC36" i="1"/>
  <c r="AP36" i="1" s="1"/>
  <c r="AR36" i="1" s="1"/>
  <c r="AC37" i="1"/>
  <c r="AP37" i="1" s="1"/>
  <c r="AR37" i="1" s="1"/>
  <c r="AC38" i="1"/>
  <c r="AP38" i="1" s="1"/>
  <c r="AR38" i="1" s="1"/>
  <c r="AC39" i="1"/>
  <c r="AP39" i="1" s="1"/>
  <c r="AR39" i="1" s="1"/>
  <c r="AC40" i="1"/>
  <c r="AP40" i="1" s="1"/>
  <c r="AR40" i="1" s="1"/>
  <c r="AC41" i="1"/>
  <c r="AP41" i="1" s="1"/>
  <c r="AR41" i="1" s="1"/>
  <c r="AC42" i="1"/>
  <c r="AP42" i="1" s="1"/>
  <c r="AR42" i="1" s="1"/>
  <c r="AC43" i="1"/>
  <c r="AP43" i="1" s="1"/>
  <c r="AR43" i="1" s="1"/>
  <c r="AC44" i="1"/>
  <c r="AP44" i="1" s="1"/>
  <c r="AR44" i="1" s="1"/>
  <c r="AC45" i="1"/>
  <c r="AP45" i="1" s="1"/>
  <c r="AR45" i="1" s="1"/>
  <c r="AC19" i="1"/>
  <c r="AP19" i="1" s="1"/>
  <c r="AR19" i="1" s="1"/>
  <c r="AD20" i="1"/>
  <c r="AQ20" i="1" s="1"/>
  <c r="AS20" i="1" s="1"/>
  <c r="AD21" i="1"/>
  <c r="AQ21" i="1" s="1"/>
  <c r="AS21" i="1" s="1"/>
  <c r="AD22" i="1"/>
  <c r="AQ22" i="1" s="1"/>
  <c r="AS22" i="1" s="1"/>
  <c r="AD23" i="1"/>
  <c r="AQ23" i="1" s="1"/>
  <c r="AS23" i="1" s="1"/>
  <c r="AD24" i="1"/>
  <c r="AQ24" i="1" s="1"/>
  <c r="AS24" i="1" s="1"/>
  <c r="AD25" i="1"/>
  <c r="AQ25" i="1" s="1"/>
  <c r="AS25" i="1" s="1"/>
  <c r="AD26" i="1"/>
  <c r="AQ26" i="1" s="1"/>
  <c r="AS26" i="1" s="1"/>
  <c r="AD27" i="1"/>
  <c r="AQ27" i="1" s="1"/>
  <c r="AS27" i="1" s="1"/>
  <c r="AD28" i="1"/>
  <c r="AQ28" i="1" s="1"/>
  <c r="AS28" i="1" s="1"/>
  <c r="AD29" i="1"/>
  <c r="AQ29" i="1" s="1"/>
  <c r="AS29" i="1" s="1"/>
  <c r="AD30" i="1"/>
  <c r="AQ30" i="1" s="1"/>
  <c r="AS30" i="1" s="1"/>
  <c r="AC20" i="1"/>
  <c r="AP20" i="1" s="1"/>
  <c r="AR20" i="1" s="1"/>
  <c r="AC21" i="1"/>
  <c r="AP21" i="1" s="1"/>
  <c r="AR21" i="1" s="1"/>
  <c r="AC22" i="1"/>
  <c r="AP22" i="1" s="1"/>
  <c r="AR22" i="1" s="1"/>
  <c r="AC23" i="1"/>
  <c r="AP23" i="1" s="1"/>
  <c r="AR23" i="1" s="1"/>
  <c r="AC24" i="1"/>
  <c r="AP24" i="1" s="1"/>
  <c r="AR24" i="1" s="1"/>
  <c r="AC25" i="1"/>
  <c r="AP25" i="1" s="1"/>
  <c r="AR25" i="1" s="1"/>
  <c r="AC26" i="1"/>
  <c r="AP26" i="1" s="1"/>
  <c r="AR26" i="1" s="1"/>
  <c r="AC27" i="1"/>
  <c r="AP27" i="1" s="1"/>
  <c r="AR27" i="1" s="1"/>
  <c r="AC28" i="1"/>
  <c r="AP28" i="1" s="1"/>
  <c r="AR28" i="1" s="1"/>
  <c r="AC29" i="1"/>
  <c r="AP29" i="1" s="1"/>
  <c r="AR29" i="1" s="1"/>
  <c r="AC30" i="1"/>
  <c r="AP30" i="1" s="1"/>
  <c r="AR30" i="1" s="1"/>
  <c r="AD5" i="1"/>
  <c r="AQ5" i="1" s="1"/>
  <c r="AS5" i="1" s="1"/>
  <c r="AD6" i="1"/>
  <c r="AQ6" i="1" s="1"/>
  <c r="AS6" i="1" s="1"/>
  <c r="AD7" i="1"/>
  <c r="AQ7" i="1" s="1"/>
  <c r="AS7" i="1" s="1"/>
  <c r="AD8" i="1"/>
  <c r="AQ8" i="1" s="1"/>
  <c r="AS8" i="1" s="1"/>
  <c r="AD9" i="1"/>
  <c r="AQ9" i="1" s="1"/>
  <c r="AS9" i="1" s="1"/>
  <c r="AD10" i="1"/>
  <c r="AQ10" i="1" s="1"/>
  <c r="AS10" i="1" s="1"/>
  <c r="AD11" i="1"/>
  <c r="AQ11" i="1" s="1"/>
  <c r="AS11" i="1" s="1"/>
  <c r="AD12" i="1"/>
  <c r="AQ12" i="1" s="1"/>
  <c r="AS12" i="1" s="1"/>
  <c r="AD13" i="1"/>
  <c r="AQ13" i="1" s="1"/>
  <c r="AS13" i="1" s="1"/>
  <c r="AD14" i="1"/>
  <c r="AQ14" i="1" s="1"/>
  <c r="AS14" i="1" s="1"/>
  <c r="AD15" i="1"/>
  <c r="AQ15" i="1" s="1"/>
  <c r="AS15" i="1" s="1"/>
  <c r="AC5" i="1"/>
  <c r="AP5" i="1" s="1"/>
  <c r="AR5" i="1" s="1"/>
  <c r="AC6" i="1"/>
  <c r="AP6" i="1" s="1"/>
  <c r="AR6" i="1" s="1"/>
  <c r="AC7" i="1"/>
  <c r="AP7" i="1" s="1"/>
  <c r="AR7" i="1" s="1"/>
  <c r="AC8" i="1"/>
  <c r="AP8" i="1" s="1"/>
  <c r="AR8" i="1" s="1"/>
  <c r="AC9" i="1"/>
  <c r="AP9" i="1" s="1"/>
  <c r="AR9" i="1" s="1"/>
  <c r="AC10" i="1"/>
  <c r="AP10" i="1" s="1"/>
  <c r="AR10" i="1" s="1"/>
  <c r="AC11" i="1"/>
  <c r="AP11" i="1" s="1"/>
  <c r="AR11" i="1" s="1"/>
  <c r="AC12" i="1"/>
  <c r="AP12" i="1" s="1"/>
  <c r="AR12" i="1" s="1"/>
  <c r="AC13" i="1"/>
  <c r="AP13" i="1" s="1"/>
  <c r="AR13" i="1" s="1"/>
  <c r="AC14" i="1"/>
  <c r="AP14" i="1" s="1"/>
  <c r="AR14" i="1" s="1"/>
  <c r="AC15" i="1"/>
  <c r="AP15" i="1" s="1"/>
  <c r="AR15" i="1" s="1"/>
  <c r="AA65" i="1"/>
  <c r="AM65" i="1" s="1"/>
  <c r="AO65" i="1" s="1"/>
  <c r="AA66" i="1"/>
  <c r="AM66" i="1" s="1"/>
  <c r="AO66" i="1" s="1"/>
  <c r="AA67" i="1"/>
  <c r="AM67" i="1" s="1"/>
  <c r="AO67" i="1" s="1"/>
  <c r="AA68" i="1"/>
  <c r="AM68" i="1" s="1"/>
  <c r="AO68" i="1" s="1"/>
  <c r="AA69" i="1"/>
  <c r="AM69" i="1" s="1"/>
  <c r="AO69" i="1" s="1"/>
  <c r="AA70" i="1"/>
  <c r="AM70" i="1" s="1"/>
  <c r="AO70" i="1" s="1"/>
  <c r="AA71" i="1"/>
  <c r="AM71" i="1" s="1"/>
  <c r="AO71" i="1" s="1"/>
  <c r="AA72" i="1"/>
  <c r="AM72" i="1" s="1"/>
  <c r="AO72" i="1" s="1"/>
  <c r="AA73" i="1"/>
  <c r="AM73" i="1" s="1"/>
  <c r="AO73" i="1" s="1"/>
  <c r="AA74" i="1"/>
  <c r="AM74" i="1" s="1"/>
  <c r="AO74" i="1" s="1"/>
  <c r="AA75" i="1"/>
  <c r="AM75" i="1" s="1"/>
  <c r="AO75" i="1" s="1"/>
  <c r="Z65" i="1"/>
  <c r="AL65" i="1" s="1"/>
  <c r="AN65" i="1" s="1"/>
  <c r="Z66" i="1"/>
  <c r="AL66" i="1" s="1"/>
  <c r="AN66" i="1" s="1"/>
  <c r="Z67" i="1"/>
  <c r="AL67" i="1" s="1"/>
  <c r="AN67" i="1" s="1"/>
  <c r="Z68" i="1"/>
  <c r="AL68" i="1" s="1"/>
  <c r="AN68" i="1" s="1"/>
  <c r="Z69" i="1"/>
  <c r="AL69" i="1" s="1"/>
  <c r="AN69" i="1" s="1"/>
  <c r="Z70" i="1"/>
  <c r="AL70" i="1" s="1"/>
  <c r="AN70" i="1" s="1"/>
  <c r="Z71" i="1"/>
  <c r="AL71" i="1" s="1"/>
  <c r="AN71" i="1" s="1"/>
  <c r="Z72" i="1"/>
  <c r="AL72" i="1" s="1"/>
  <c r="AN72" i="1" s="1"/>
  <c r="Z73" i="1"/>
  <c r="AL73" i="1" s="1"/>
  <c r="AN73" i="1" s="1"/>
  <c r="Z74" i="1"/>
  <c r="AL74" i="1" s="1"/>
  <c r="AN74" i="1" s="1"/>
  <c r="Z75" i="1"/>
  <c r="AL75" i="1" s="1"/>
  <c r="AN75" i="1" s="1"/>
  <c r="AA50" i="1"/>
  <c r="AM50" i="1" s="1"/>
  <c r="AO50" i="1" s="1"/>
  <c r="AY50" i="1" s="1"/>
  <c r="AA51" i="1"/>
  <c r="AM51" i="1" s="1"/>
  <c r="AO51" i="1" s="1"/>
  <c r="AY51" i="1" s="1"/>
  <c r="AA52" i="1"/>
  <c r="AM52" i="1" s="1"/>
  <c r="AO52" i="1" s="1"/>
  <c r="AY52" i="1" s="1"/>
  <c r="AA53" i="1"/>
  <c r="AM53" i="1" s="1"/>
  <c r="AO53" i="1" s="1"/>
  <c r="AY53" i="1" s="1"/>
  <c r="AA54" i="1"/>
  <c r="AM54" i="1" s="1"/>
  <c r="AO54" i="1" s="1"/>
  <c r="AY54" i="1" s="1"/>
  <c r="AA55" i="1"/>
  <c r="AM55" i="1" s="1"/>
  <c r="AO55" i="1" s="1"/>
  <c r="AA56" i="1"/>
  <c r="AM56" i="1" s="1"/>
  <c r="AO56" i="1" s="1"/>
  <c r="AY56" i="1" s="1"/>
  <c r="AA57" i="1"/>
  <c r="AM57" i="1" s="1"/>
  <c r="AO57" i="1" s="1"/>
  <c r="AY57" i="1" s="1"/>
  <c r="AA58" i="1"/>
  <c r="AM58" i="1" s="1"/>
  <c r="AO58" i="1" s="1"/>
  <c r="AY58" i="1" s="1"/>
  <c r="AA59" i="1"/>
  <c r="AM59" i="1" s="1"/>
  <c r="AO59" i="1" s="1"/>
  <c r="AY59" i="1" s="1"/>
  <c r="AA60" i="1"/>
  <c r="AM60" i="1" s="1"/>
  <c r="AO60" i="1" s="1"/>
  <c r="AY60" i="1" s="1"/>
  <c r="AA49" i="1"/>
  <c r="AM49" i="1" s="1"/>
  <c r="AO49" i="1" s="1"/>
  <c r="AY49" i="1" s="1"/>
  <c r="Z50" i="1"/>
  <c r="AL50" i="1" s="1"/>
  <c r="AN50" i="1" s="1"/>
  <c r="AX50" i="1" s="1"/>
  <c r="Z51" i="1"/>
  <c r="AL51" i="1" s="1"/>
  <c r="AN51" i="1" s="1"/>
  <c r="Z52" i="1"/>
  <c r="AL52" i="1" s="1"/>
  <c r="AN52" i="1" s="1"/>
  <c r="AX52" i="1" s="1"/>
  <c r="Z53" i="1"/>
  <c r="AL53" i="1" s="1"/>
  <c r="AN53" i="1" s="1"/>
  <c r="AX53" i="1" s="1"/>
  <c r="Z54" i="1"/>
  <c r="AL54" i="1" s="1"/>
  <c r="AN54" i="1" s="1"/>
  <c r="AX54" i="1" s="1"/>
  <c r="Z55" i="1"/>
  <c r="AL55" i="1" s="1"/>
  <c r="AN55" i="1" s="1"/>
  <c r="AX55" i="1" s="1"/>
  <c r="Z56" i="1"/>
  <c r="AL56" i="1" s="1"/>
  <c r="AN56" i="1" s="1"/>
  <c r="AX56" i="1" s="1"/>
  <c r="Z57" i="1"/>
  <c r="AL57" i="1" s="1"/>
  <c r="AN57" i="1" s="1"/>
  <c r="AX57" i="1" s="1"/>
  <c r="Z58" i="1"/>
  <c r="AL58" i="1" s="1"/>
  <c r="AN58" i="1" s="1"/>
  <c r="AX58" i="1" s="1"/>
  <c r="Z59" i="1"/>
  <c r="AL59" i="1" s="1"/>
  <c r="AN59" i="1" s="1"/>
  <c r="Z60" i="1"/>
  <c r="AL60" i="1" s="1"/>
  <c r="AN60" i="1" s="1"/>
  <c r="AX60" i="1" s="1"/>
  <c r="Z49" i="1"/>
  <c r="AL49" i="1" s="1"/>
  <c r="AN49" i="1" s="1"/>
  <c r="AX49" i="1" s="1"/>
  <c r="AA35" i="1"/>
  <c r="AM35" i="1" s="1"/>
  <c r="AO35" i="1" s="1"/>
  <c r="AY35" i="1" s="1"/>
  <c r="AA36" i="1"/>
  <c r="AM36" i="1" s="1"/>
  <c r="AO36" i="1" s="1"/>
  <c r="AY36" i="1" s="1"/>
  <c r="AA37" i="1"/>
  <c r="AM37" i="1" s="1"/>
  <c r="AO37" i="1" s="1"/>
  <c r="AY37" i="1" s="1"/>
  <c r="AA38" i="1"/>
  <c r="AM38" i="1" s="1"/>
  <c r="AO38" i="1" s="1"/>
  <c r="AY38" i="1" s="1"/>
  <c r="AA39" i="1"/>
  <c r="AM39" i="1" s="1"/>
  <c r="AO39" i="1" s="1"/>
  <c r="AY39" i="1" s="1"/>
  <c r="AA40" i="1"/>
  <c r="AM40" i="1" s="1"/>
  <c r="AO40" i="1" s="1"/>
  <c r="AA41" i="1"/>
  <c r="AM41" i="1" s="1"/>
  <c r="AO41" i="1" s="1"/>
  <c r="AY41" i="1" s="1"/>
  <c r="AA42" i="1"/>
  <c r="AM42" i="1" s="1"/>
  <c r="AO42" i="1" s="1"/>
  <c r="AY42" i="1" s="1"/>
  <c r="AA43" i="1"/>
  <c r="AM43" i="1" s="1"/>
  <c r="AO43" i="1" s="1"/>
  <c r="AY43" i="1" s="1"/>
  <c r="AA44" i="1"/>
  <c r="AM44" i="1" s="1"/>
  <c r="AO44" i="1" s="1"/>
  <c r="AY44" i="1" s="1"/>
  <c r="AA45" i="1"/>
  <c r="AM45" i="1" s="1"/>
  <c r="AO45" i="1" s="1"/>
  <c r="AY45" i="1" s="1"/>
  <c r="Z35" i="1"/>
  <c r="AL35" i="1" s="1"/>
  <c r="AN35" i="1" s="1"/>
  <c r="AX35" i="1" s="1"/>
  <c r="Z36" i="1"/>
  <c r="AL36" i="1" s="1"/>
  <c r="AN36" i="1" s="1"/>
  <c r="Z37" i="1"/>
  <c r="AL37" i="1" s="1"/>
  <c r="AN37" i="1" s="1"/>
  <c r="AX37" i="1" s="1"/>
  <c r="Z38" i="1"/>
  <c r="AL38" i="1" s="1"/>
  <c r="AN38" i="1" s="1"/>
  <c r="AX38" i="1" s="1"/>
  <c r="Z39" i="1"/>
  <c r="AL39" i="1" s="1"/>
  <c r="AN39" i="1" s="1"/>
  <c r="AX39" i="1" s="1"/>
  <c r="Z40" i="1"/>
  <c r="AL40" i="1" s="1"/>
  <c r="AN40" i="1" s="1"/>
  <c r="AX40" i="1" s="1"/>
  <c r="Z41" i="1"/>
  <c r="AL41" i="1" s="1"/>
  <c r="AN41" i="1" s="1"/>
  <c r="AX41" i="1" s="1"/>
  <c r="Z42" i="1"/>
  <c r="AL42" i="1" s="1"/>
  <c r="AN42" i="1" s="1"/>
  <c r="AX42" i="1" s="1"/>
  <c r="Z43" i="1"/>
  <c r="AL43" i="1" s="1"/>
  <c r="AN43" i="1" s="1"/>
  <c r="AX43" i="1" s="1"/>
  <c r="Z44" i="1"/>
  <c r="AL44" i="1" s="1"/>
  <c r="AN44" i="1" s="1"/>
  <c r="Z45" i="1"/>
  <c r="AL45" i="1" s="1"/>
  <c r="AN45" i="1" s="1"/>
  <c r="AX45" i="1" s="1"/>
  <c r="Z34" i="1"/>
  <c r="AL34" i="1" s="1"/>
  <c r="AN34" i="1" s="1"/>
  <c r="AX34" i="1" s="1"/>
  <c r="AA20" i="1"/>
  <c r="AM20" i="1" s="1"/>
  <c r="AO20" i="1" s="1"/>
  <c r="AA21" i="1"/>
  <c r="AM21" i="1" s="1"/>
  <c r="AO21" i="1" s="1"/>
  <c r="AA22" i="1"/>
  <c r="AM22" i="1" s="1"/>
  <c r="AO22" i="1" s="1"/>
  <c r="AA23" i="1"/>
  <c r="AM23" i="1" s="1"/>
  <c r="AO23" i="1" s="1"/>
  <c r="AA24" i="1"/>
  <c r="AM24" i="1" s="1"/>
  <c r="AO24" i="1" s="1"/>
  <c r="AA25" i="1"/>
  <c r="AM25" i="1" s="1"/>
  <c r="AO25" i="1" s="1"/>
  <c r="AA26" i="1"/>
  <c r="AM26" i="1" s="1"/>
  <c r="AO26" i="1" s="1"/>
  <c r="AA27" i="1"/>
  <c r="AM27" i="1" s="1"/>
  <c r="AO27" i="1" s="1"/>
  <c r="AA28" i="1"/>
  <c r="AM28" i="1" s="1"/>
  <c r="AO28" i="1" s="1"/>
  <c r="AA29" i="1"/>
  <c r="AM29" i="1" s="1"/>
  <c r="AO29" i="1" s="1"/>
  <c r="AA30" i="1"/>
  <c r="AM30" i="1" s="1"/>
  <c r="AO30" i="1" s="1"/>
  <c r="AA19" i="1"/>
  <c r="AM19" i="1" s="1"/>
  <c r="AO19" i="1" s="1"/>
  <c r="BB20" i="1"/>
  <c r="Z21" i="1"/>
  <c r="AL21" i="1" s="1"/>
  <c r="AN21" i="1" s="1"/>
  <c r="Z22" i="1"/>
  <c r="AL22" i="1" s="1"/>
  <c r="AN22" i="1" s="1"/>
  <c r="Z23" i="1"/>
  <c r="AL23" i="1" s="1"/>
  <c r="AN23" i="1" s="1"/>
  <c r="Z24" i="1"/>
  <c r="AL24" i="1" s="1"/>
  <c r="AN24" i="1" s="1"/>
  <c r="Z25" i="1"/>
  <c r="AL25" i="1" s="1"/>
  <c r="AN25" i="1" s="1"/>
  <c r="Z26" i="1"/>
  <c r="AL26" i="1" s="1"/>
  <c r="AN26" i="1" s="1"/>
  <c r="Z27" i="1"/>
  <c r="AL27" i="1" s="1"/>
  <c r="AN27" i="1" s="1"/>
  <c r="Z28" i="1"/>
  <c r="Z29" i="1"/>
  <c r="AL29" i="1" s="1"/>
  <c r="AN29" i="1" s="1"/>
  <c r="Z30" i="1"/>
  <c r="AL30" i="1" s="1"/>
  <c r="AN30" i="1" s="1"/>
  <c r="AA127" i="1"/>
  <c r="AA128" i="1"/>
  <c r="AA129" i="1"/>
  <c r="AA130" i="1"/>
  <c r="AA131" i="1"/>
  <c r="AA132" i="1"/>
  <c r="AA133" i="1"/>
  <c r="AA134" i="1"/>
  <c r="AA135" i="1"/>
  <c r="AA136" i="1"/>
  <c r="AA137" i="1"/>
  <c r="AA112" i="1"/>
  <c r="AA113" i="1"/>
  <c r="AA114" i="1"/>
  <c r="AA115" i="1"/>
  <c r="AA116" i="1"/>
  <c r="AA117" i="1"/>
  <c r="AA118" i="1"/>
  <c r="AA119" i="1"/>
  <c r="AA120" i="1"/>
  <c r="AA121" i="1"/>
  <c r="AA122" i="1"/>
  <c r="AA111" i="1"/>
  <c r="AA97" i="1"/>
  <c r="AA98" i="1"/>
  <c r="AA99" i="1"/>
  <c r="AA100" i="1"/>
  <c r="AA101" i="1"/>
  <c r="AA102" i="1"/>
  <c r="AA103" i="1"/>
  <c r="AA104" i="1"/>
  <c r="AA105" i="1"/>
  <c r="AA106" i="1"/>
  <c r="AA107" i="1"/>
  <c r="AA96" i="1"/>
  <c r="AA5" i="1"/>
  <c r="AM5" i="1" s="1"/>
  <c r="AO5" i="1" s="1"/>
  <c r="AA6" i="1"/>
  <c r="AM6" i="1" s="1"/>
  <c r="AO6" i="1" s="1"/>
  <c r="AA7" i="1"/>
  <c r="AM7" i="1" s="1"/>
  <c r="AO7" i="1" s="1"/>
  <c r="AA8" i="1"/>
  <c r="AM8" i="1" s="1"/>
  <c r="AO8" i="1" s="1"/>
  <c r="AA9" i="1"/>
  <c r="AM9" i="1" s="1"/>
  <c r="AO9" i="1" s="1"/>
  <c r="AA10" i="1"/>
  <c r="AM10" i="1" s="1"/>
  <c r="AO10" i="1" s="1"/>
  <c r="AA11" i="1"/>
  <c r="AM11" i="1" s="1"/>
  <c r="AO11" i="1" s="1"/>
  <c r="AA12" i="1"/>
  <c r="AM12" i="1" s="1"/>
  <c r="AO12" i="1" s="1"/>
  <c r="AA13" i="1"/>
  <c r="AM13" i="1" s="1"/>
  <c r="AO13" i="1" s="1"/>
  <c r="AA14" i="1"/>
  <c r="AM14" i="1" s="1"/>
  <c r="AO14" i="1" s="1"/>
  <c r="AA15" i="1"/>
  <c r="AM15" i="1" s="1"/>
  <c r="AO15" i="1" s="1"/>
  <c r="Z5" i="1"/>
  <c r="AL5" i="1" s="1"/>
  <c r="AN5" i="1" s="1"/>
  <c r="Z6" i="1"/>
  <c r="AL6" i="1" s="1"/>
  <c r="AN6" i="1" s="1"/>
  <c r="Z7" i="1"/>
  <c r="AL7" i="1" s="1"/>
  <c r="AN7" i="1" s="1"/>
  <c r="Z8" i="1"/>
  <c r="AL8" i="1" s="1"/>
  <c r="AN8" i="1" s="1"/>
  <c r="Z9" i="1"/>
  <c r="AL9" i="1" s="1"/>
  <c r="AN9" i="1" s="1"/>
  <c r="Z10" i="1"/>
  <c r="AL10" i="1" s="1"/>
  <c r="AN10" i="1" s="1"/>
  <c r="Z11" i="1"/>
  <c r="AL11" i="1" s="1"/>
  <c r="AN11" i="1" s="1"/>
  <c r="Z12" i="1"/>
  <c r="AL12" i="1" s="1"/>
  <c r="AN12" i="1" s="1"/>
  <c r="Z13" i="1"/>
  <c r="AL13" i="1" s="1"/>
  <c r="AN13" i="1" s="1"/>
  <c r="Z14" i="1"/>
  <c r="AL14" i="1" s="1"/>
  <c r="AN14" i="1" s="1"/>
  <c r="Z15" i="1"/>
  <c r="AL15" i="1" s="1"/>
  <c r="AN15" i="1" s="1"/>
  <c r="Z127" i="1"/>
  <c r="Z128" i="1"/>
  <c r="Z129" i="1"/>
  <c r="Z130" i="1"/>
  <c r="Z131" i="1"/>
  <c r="Z132" i="1"/>
  <c r="Z133" i="1"/>
  <c r="Z134" i="1"/>
  <c r="Z135" i="1"/>
  <c r="Z136" i="1"/>
  <c r="Z137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96" i="1"/>
  <c r="Z97" i="1"/>
  <c r="Z98" i="1"/>
  <c r="Z99" i="1"/>
  <c r="Z100" i="1"/>
  <c r="Z101" i="1"/>
  <c r="Z102" i="1"/>
  <c r="Z103" i="1"/>
  <c r="Z104" i="1"/>
  <c r="Z105" i="1"/>
  <c r="Z106" i="1"/>
  <c r="Z107" i="1"/>
  <c r="R50" i="1"/>
  <c r="R51" i="1"/>
  <c r="R52" i="1"/>
  <c r="R53" i="1"/>
  <c r="R54" i="1"/>
  <c r="R55" i="1"/>
  <c r="R56" i="1"/>
  <c r="R57" i="1"/>
  <c r="R58" i="1"/>
  <c r="R59" i="1"/>
  <c r="R60" i="1"/>
  <c r="R49" i="1"/>
  <c r="Q50" i="1"/>
  <c r="Q51" i="1"/>
  <c r="Q52" i="1"/>
  <c r="Q53" i="1"/>
  <c r="Q54" i="1"/>
  <c r="Q55" i="1"/>
  <c r="Q56" i="1"/>
  <c r="Q57" i="1"/>
  <c r="Q58" i="1"/>
  <c r="Q59" i="1"/>
  <c r="Q60" i="1"/>
  <c r="Q49" i="1"/>
  <c r="BH81" i="1"/>
  <c r="BH82" i="1"/>
  <c r="BH80" i="1"/>
  <c r="AY15" i="1" l="1"/>
  <c r="BA15" i="1"/>
  <c r="AZ13" i="1"/>
  <c r="AX13" i="1"/>
  <c r="AZ5" i="1"/>
  <c r="AX5" i="1"/>
  <c r="AY8" i="1"/>
  <c r="BA8" i="1"/>
  <c r="AZ29" i="1"/>
  <c r="AX29" i="1"/>
  <c r="AZ21" i="1"/>
  <c r="AX21" i="1"/>
  <c r="AY25" i="1"/>
  <c r="BA25" i="1"/>
  <c r="AX44" i="1"/>
  <c r="AX36" i="1"/>
  <c r="BA7" i="1"/>
  <c r="AY7" i="1"/>
  <c r="AY24" i="1"/>
  <c r="BA24" i="1"/>
  <c r="AX11" i="1"/>
  <c r="AZ11" i="1"/>
  <c r="AY14" i="1"/>
  <c r="BA14" i="1"/>
  <c r="BA6" i="1"/>
  <c r="AY6" i="1"/>
  <c r="AZ27" i="1"/>
  <c r="AX27" i="1"/>
  <c r="BA19" i="1"/>
  <c r="AY19" i="1"/>
  <c r="AY23" i="1"/>
  <c r="BA23" i="1"/>
  <c r="AX65" i="1"/>
  <c r="AX10" i="1"/>
  <c r="AZ10" i="1"/>
  <c r="AY13" i="1"/>
  <c r="BA13" i="1"/>
  <c r="AY5" i="1"/>
  <c r="BA5" i="1"/>
  <c r="AX26" i="1"/>
  <c r="AZ26" i="1"/>
  <c r="BA30" i="1"/>
  <c r="AY30" i="1"/>
  <c r="BA22" i="1"/>
  <c r="AY22" i="1"/>
  <c r="AZ20" i="1"/>
  <c r="AX20" i="1"/>
  <c r="BA4" i="1"/>
  <c r="AY4" i="1"/>
  <c r="AX9" i="1"/>
  <c r="AZ9" i="1"/>
  <c r="AY12" i="1"/>
  <c r="BA12" i="1"/>
  <c r="AX25" i="1"/>
  <c r="AZ25" i="1"/>
  <c r="AY29" i="1"/>
  <c r="BA29" i="1"/>
  <c r="BA21" i="1"/>
  <c r="AY21" i="1"/>
  <c r="AX8" i="1"/>
  <c r="AZ8" i="1"/>
  <c r="AY11" i="1"/>
  <c r="BA11" i="1"/>
  <c r="AZ24" i="1"/>
  <c r="AX24" i="1"/>
  <c r="AY28" i="1"/>
  <c r="BA28" i="1"/>
  <c r="BA20" i="1"/>
  <c r="AY20" i="1"/>
  <c r="AX12" i="1"/>
  <c r="AZ12" i="1"/>
  <c r="BB28" i="1"/>
  <c r="AL28" i="1"/>
  <c r="AN28" i="1" s="1"/>
  <c r="AZ15" i="1"/>
  <c r="AX15" i="1"/>
  <c r="AZ7" i="1"/>
  <c r="AX7" i="1"/>
  <c r="BA10" i="1"/>
  <c r="AY10" i="1"/>
  <c r="AZ23" i="1"/>
  <c r="AX23" i="1"/>
  <c r="AY27" i="1"/>
  <c r="BA27" i="1"/>
  <c r="AY65" i="1"/>
  <c r="C239" i="1" s="1"/>
  <c r="AZ14" i="1"/>
  <c r="AX14" i="1"/>
  <c r="AZ6" i="1"/>
  <c r="AX6" i="1"/>
  <c r="BA9" i="1"/>
  <c r="AY9" i="1"/>
  <c r="AZ30" i="1"/>
  <c r="AX30" i="1"/>
  <c r="AZ22" i="1"/>
  <c r="AX22" i="1"/>
  <c r="AY26" i="1"/>
  <c r="BA26" i="1"/>
  <c r="AY40" i="1"/>
  <c r="AX59" i="1"/>
  <c r="AX51" i="1"/>
  <c r="AY55" i="1"/>
  <c r="AZ19" i="1"/>
  <c r="AX19" i="1"/>
  <c r="AX4" i="1"/>
  <c r="AZ4" i="1"/>
  <c r="AP74" i="1"/>
  <c r="AR74" i="1" s="1"/>
  <c r="AX74" i="1" s="1"/>
  <c r="W74" i="1"/>
  <c r="U74" i="1"/>
  <c r="AP66" i="1"/>
  <c r="AR66" i="1" s="1"/>
  <c r="AX66" i="1" s="1"/>
  <c r="W66" i="1"/>
  <c r="U66" i="1"/>
  <c r="AQ70" i="1"/>
  <c r="AS70" i="1" s="1"/>
  <c r="AY70" i="1" s="1"/>
  <c r="C244" i="1" s="1"/>
  <c r="V70" i="1"/>
  <c r="X70" i="1"/>
  <c r="AP73" i="1"/>
  <c r="AR73" i="1" s="1"/>
  <c r="AX73" i="1" s="1"/>
  <c r="U73" i="1"/>
  <c r="W73" i="1"/>
  <c r="AQ73" i="1"/>
  <c r="AS73" i="1" s="1"/>
  <c r="AY73" i="1" s="1"/>
  <c r="C247" i="1" s="1"/>
  <c r="V73" i="1"/>
  <c r="X73" i="1"/>
  <c r="AQ69" i="1"/>
  <c r="AS69" i="1" s="1"/>
  <c r="AY69" i="1" s="1"/>
  <c r="C243" i="1" s="1"/>
  <c r="V69" i="1"/>
  <c r="X69" i="1"/>
  <c r="AP75" i="1"/>
  <c r="AR75" i="1" s="1"/>
  <c r="AX75" i="1" s="1"/>
  <c r="U75" i="1"/>
  <c r="W75" i="1"/>
  <c r="AP71" i="1"/>
  <c r="AR71" i="1" s="1"/>
  <c r="AX71" i="1" s="1"/>
  <c r="U71" i="1"/>
  <c r="W71" i="1"/>
  <c r="AP67" i="1"/>
  <c r="AR67" i="1" s="1"/>
  <c r="AX67" i="1" s="1"/>
  <c r="U67" i="1"/>
  <c r="W67" i="1"/>
  <c r="AQ75" i="1"/>
  <c r="AS75" i="1" s="1"/>
  <c r="AY75" i="1" s="1"/>
  <c r="C249" i="1" s="1"/>
  <c r="V75" i="1"/>
  <c r="X75" i="1"/>
  <c r="AQ71" i="1"/>
  <c r="AS71" i="1" s="1"/>
  <c r="AY71" i="1" s="1"/>
  <c r="C245" i="1" s="1"/>
  <c r="V71" i="1"/>
  <c r="X71" i="1"/>
  <c r="AQ67" i="1"/>
  <c r="AS67" i="1" s="1"/>
  <c r="AY67" i="1" s="1"/>
  <c r="C241" i="1" s="1"/>
  <c r="V67" i="1"/>
  <c r="X67" i="1"/>
  <c r="AP70" i="1"/>
  <c r="AR70" i="1" s="1"/>
  <c r="AX70" i="1" s="1"/>
  <c r="W70" i="1"/>
  <c r="U70" i="1"/>
  <c r="AQ74" i="1"/>
  <c r="AS74" i="1" s="1"/>
  <c r="AY74" i="1" s="1"/>
  <c r="C248" i="1" s="1"/>
  <c r="V74" i="1"/>
  <c r="X74" i="1"/>
  <c r="AQ66" i="1"/>
  <c r="AS66" i="1" s="1"/>
  <c r="AY66" i="1" s="1"/>
  <c r="C240" i="1" s="1"/>
  <c r="V66" i="1"/>
  <c r="X66" i="1"/>
  <c r="AP69" i="1"/>
  <c r="AR69" i="1" s="1"/>
  <c r="AX69" i="1" s="1"/>
  <c r="U69" i="1"/>
  <c r="W69" i="1"/>
  <c r="AP72" i="1"/>
  <c r="AR72" i="1" s="1"/>
  <c r="AX72" i="1" s="1"/>
  <c r="U72" i="1"/>
  <c r="W72" i="1"/>
  <c r="AP68" i="1"/>
  <c r="AR68" i="1" s="1"/>
  <c r="AX68" i="1" s="1"/>
  <c r="U68" i="1"/>
  <c r="W68" i="1"/>
  <c r="AQ72" i="1"/>
  <c r="AS72" i="1" s="1"/>
  <c r="AY72" i="1" s="1"/>
  <c r="C246" i="1" s="1"/>
  <c r="X72" i="1"/>
  <c r="V72" i="1"/>
  <c r="AQ68" i="1"/>
  <c r="AS68" i="1" s="1"/>
  <c r="AY68" i="1" s="1"/>
  <c r="C242" i="1" s="1"/>
  <c r="X68" i="1"/>
  <c r="V68" i="1"/>
  <c r="X65" i="1"/>
  <c r="V65" i="1"/>
  <c r="U65" i="1"/>
  <c r="W65" i="1"/>
  <c r="AI75" i="1"/>
  <c r="AI71" i="1"/>
  <c r="AI67" i="1"/>
  <c r="AJ75" i="1"/>
  <c r="AJ71" i="1"/>
  <c r="AJ67" i="1"/>
  <c r="AI74" i="1"/>
  <c r="AI70" i="1"/>
  <c r="AI66" i="1"/>
  <c r="AJ74" i="1"/>
  <c r="AJ70" i="1"/>
  <c r="AJ66" i="1"/>
  <c r="AI73" i="1"/>
  <c r="AI69" i="1"/>
  <c r="AI65" i="1"/>
  <c r="AJ73" i="1"/>
  <c r="AJ69" i="1"/>
  <c r="AJ65" i="1"/>
  <c r="AI72" i="1"/>
  <c r="AI68" i="1"/>
  <c r="AJ72" i="1"/>
  <c r="AJ68" i="1"/>
  <c r="AH64" i="1"/>
  <c r="AI27" i="1"/>
  <c r="BC19" i="1"/>
  <c r="BC23" i="1"/>
  <c r="AI42" i="1"/>
  <c r="BC34" i="1"/>
  <c r="BC38" i="1"/>
  <c r="BB57" i="1"/>
  <c r="BC49" i="1"/>
  <c r="BC53" i="1"/>
  <c r="BC4" i="1"/>
  <c r="BB10" i="1"/>
  <c r="BC30" i="1"/>
  <c r="BC22" i="1"/>
  <c r="AI41" i="1"/>
  <c r="BC45" i="1"/>
  <c r="BC37" i="1"/>
  <c r="BB56" i="1"/>
  <c r="BC60" i="1"/>
  <c r="BC52" i="1"/>
  <c r="BB71" i="1"/>
  <c r="BC75" i="1"/>
  <c r="BC67" i="1"/>
  <c r="AI14" i="1"/>
  <c r="AI6" i="1"/>
  <c r="BC9" i="1"/>
  <c r="BB13" i="1"/>
  <c r="BB5" i="1"/>
  <c r="BI79" i="1"/>
  <c r="BK79" i="1" s="1"/>
  <c r="BY34" i="1" s="1"/>
  <c r="BF82" i="1"/>
  <c r="BG82" i="1" s="1"/>
  <c r="BF81" i="1"/>
  <c r="BG81" i="1" s="1"/>
  <c r="BF80" i="1"/>
  <c r="BG80" i="1" s="1"/>
  <c r="AI26" i="1"/>
  <c r="BC29" i="1"/>
  <c r="BC21" i="1"/>
  <c r="AI40" i="1"/>
  <c r="BC44" i="1"/>
  <c r="BC36" i="1"/>
  <c r="BB55" i="1"/>
  <c r="BC59" i="1"/>
  <c r="BC51" i="1"/>
  <c r="BB70" i="1"/>
  <c r="BC74" i="1"/>
  <c r="BC66" i="1"/>
  <c r="BB15" i="1"/>
  <c r="BB7" i="1"/>
  <c r="AJ10" i="1"/>
  <c r="BC28" i="1"/>
  <c r="BC20" i="1"/>
  <c r="BB39" i="1"/>
  <c r="BC43" i="1"/>
  <c r="BC35" i="1"/>
  <c r="BB54" i="1"/>
  <c r="BC58" i="1"/>
  <c r="BC50" i="1"/>
  <c r="BB69" i="1"/>
  <c r="BC73" i="1"/>
  <c r="BC65" i="1"/>
  <c r="BC26" i="1"/>
  <c r="AI45" i="1"/>
  <c r="BB37" i="1"/>
  <c r="BC8" i="1"/>
  <c r="BB11" i="1"/>
  <c r="BC14" i="1"/>
  <c r="BC6" i="1"/>
  <c r="BC24" i="1"/>
  <c r="BB43" i="1"/>
  <c r="BB35" i="1"/>
  <c r="BC39" i="1"/>
  <c r="BB58" i="1"/>
  <c r="BB50" i="1"/>
  <c r="BC54" i="1"/>
  <c r="BB73" i="1"/>
  <c r="BB65" i="1"/>
  <c r="BC69" i="1"/>
  <c r="BB8" i="1"/>
  <c r="BC11" i="1"/>
  <c r="AI25" i="1"/>
  <c r="BC15" i="1"/>
  <c r="BC7" i="1"/>
  <c r="AI29" i="1"/>
  <c r="AI21" i="1"/>
  <c r="AI44" i="1"/>
  <c r="AI36" i="1"/>
  <c r="BC13" i="1"/>
  <c r="BC5" i="1"/>
  <c r="BB9" i="1"/>
  <c r="BB24" i="1"/>
  <c r="BB12" i="1"/>
  <c r="AJ41" i="1"/>
  <c r="AI30" i="1"/>
  <c r="AI22" i="1"/>
  <c r="BB64" i="1"/>
  <c r="BC72" i="1"/>
  <c r="BC71" i="1"/>
  <c r="AI24" i="1"/>
  <c r="BC27" i="1"/>
  <c r="AI19" i="1"/>
  <c r="AI38" i="1"/>
  <c r="BC42" i="1"/>
  <c r="BB34" i="1"/>
  <c r="AI53" i="1"/>
  <c r="BC57" i="1"/>
  <c r="BB49" i="1"/>
  <c r="BB68" i="1"/>
  <c r="BB4" i="1"/>
  <c r="BC12" i="1"/>
  <c r="BB23" i="1"/>
  <c r="AJ19" i="1"/>
  <c r="BC70" i="1"/>
  <c r="AI23" i="1"/>
  <c r="BB60" i="1"/>
  <c r="BB52" i="1"/>
  <c r="BC56" i="1"/>
  <c r="BB75" i="1"/>
  <c r="BB67" i="1"/>
  <c r="BB30" i="1"/>
  <c r="BB22" i="1"/>
  <c r="AJ34" i="1"/>
  <c r="BC25" i="1"/>
  <c r="BB44" i="1"/>
  <c r="BB36" i="1"/>
  <c r="AJ40" i="1"/>
  <c r="BB59" i="1"/>
  <c r="BB51" i="1"/>
  <c r="AJ55" i="1"/>
  <c r="BB74" i="1"/>
  <c r="BB66" i="1"/>
  <c r="BB29" i="1"/>
  <c r="BB21" i="1"/>
  <c r="AI39" i="1"/>
  <c r="AJ12" i="1"/>
  <c r="AI34" i="1"/>
  <c r="AI49" i="1"/>
  <c r="BB19" i="1"/>
  <c r="BB38" i="1"/>
  <c r="BB53" i="1"/>
  <c r="AI7" i="1"/>
  <c r="AJ26" i="1"/>
  <c r="BB45" i="1"/>
  <c r="AJ25" i="1"/>
  <c r="BC10" i="1"/>
  <c r="AI12" i="1"/>
  <c r="AJ4" i="1"/>
  <c r="AJ8" i="1"/>
  <c r="AI28" i="1"/>
  <c r="AI20" i="1"/>
  <c r="AJ23" i="1"/>
  <c r="AI43" i="1"/>
  <c r="AI35" i="1"/>
  <c r="AJ38" i="1"/>
  <c r="AI57" i="1"/>
  <c r="AJ49" i="1"/>
  <c r="AJ53" i="1"/>
  <c r="BB27" i="1"/>
  <c r="BB42" i="1"/>
  <c r="BB72" i="1"/>
  <c r="BC64" i="1"/>
  <c r="BC68" i="1"/>
  <c r="AI8" i="1"/>
  <c r="AJ27" i="1"/>
  <c r="AJ11" i="1"/>
  <c r="BC41" i="1"/>
  <c r="AI37" i="1"/>
  <c r="AI59" i="1"/>
  <c r="AI51" i="1"/>
  <c r="BB6" i="1"/>
  <c r="AI11" i="1"/>
  <c r="AJ15" i="1"/>
  <c r="AJ7" i="1"/>
  <c r="AJ30" i="1"/>
  <c r="AJ22" i="1"/>
  <c r="AJ45" i="1"/>
  <c r="AJ37" i="1"/>
  <c r="AI56" i="1"/>
  <c r="AJ60" i="1"/>
  <c r="AJ52" i="1"/>
  <c r="BB26" i="1"/>
  <c r="BB41" i="1"/>
  <c r="AI4" i="1"/>
  <c r="AJ42" i="1"/>
  <c r="AJ57" i="1"/>
  <c r="AI60" i="1"/>
  <c r="BB14" i="1"/>
  <c r="BC55" i="1"/>
  <c r="AI10" i="1"/>
  <c r="AJ14" i="1"/>
  <c r="AJ6" i="1"/>
  <c r="AJ29" i="1"/>
  <c r="AJ21" i="1"/>
  <c r="AJ44" i="1"/>
  <c r="AJ36" i="1"/>
  <c r="AI55" i="1"/>
  <c r="AJ59" i="1"/>
  <c r="AJ51" i="1"/>
  <c r="BB25" i="1"/>
  <c r="BB40" i="1"/>
  <c r="AI15" i="1"/>
  <c r="AJ56" i="1"/>
  <c r="BC40" i="1"/>
  <c r="AI9" i="1"/>
  <c r="AJ13" i="1"/>
  <c r="AJ5" i="1"/>
  <c r="AJ28" i="1"/>
  <c r="AJ20" i="1"/>
  <c r="AJ43" i="1"/>
  <c r="AJ35" i="1"/>
  <c r="AI54" i="1"/>
  <c r="AJ58" i="1"/>
  <c r="AJ50" i="1"/>
  <c r="AI52" i="1"/>
  <c r="AI13" i="1"/>
  <c r="AI5" i="1"/>
  <c r="AJ9" i="1"/>
  <c r="AJ24" i="1"/>
  <c r="AJ39" i="1"/>
  <c r="AI58" i="1"/>
  <c r="AI50" i="1"/>
  <c r="AJ54" i="1"/>
  <c r="P50" i="1"/>
  <c r="P51" i="1"/>
  <c r="P52" i="1"/>
  <c r="P53" i="1"/>
  <c r="P54" i="1"/>
  <c r="P55" i="1"/>
  <c r="P56" i="1"/>
  <c r="P57" i="1"/>
  <c r="P58" i="1"/>
  <c r="P59" i="1"/>
  <c r="P60" i="1"/>
  <c r="P49" i="1"/>
  <c r="O50" i="1"/>
  <c r="O51" i="1"/>
  <c r="O52" i="1"/>
  <c r="O53" i="1"/>
  <c r="O54" i="1"/>
  <c r="O55" i="1"/>
  <c r="O56" i="1"/>
  <c r="O57" i="1"/>
  <c r="O58" i="1"/>
  <c r="O59" i="1"/>
  <c r="O60" i="1"/>
  <c r="O49" i="1"/>
  <c r="AZ28" i="1" l="1"/>
  <c r="AX28" i="1"/>
  <c r="AH40" i="1"/>
  <c r="AH72" i="1"/>
  <c r="AH42" i="1"/>
  <c r="AH6" i="1"/>
  <c r="AH14" i="1"/>
  <c r="AH35" i="1"/>
  <c r="AH23" i="1"/>
  <c r="AH41" i="1"/>
  <c r="AH4" i="1"/>
  <c r="BG83" i="1"/>
  <c r="AH66" i="1"/>
  <c r="AH24" i="1"/>
  <c r="AH60" i="1"/>
  <c r="AH43" i="1"/>
  <c r="AH56" i="1"/>
  <c r="AH73" i="1"/>
  <c r="AH21" i="1"/>
  <c r="AH38" i="1"/>
  <c r="AH22" i="1"/>
  <c r="AH29" i="1"/>
  <c r="AH27" i="1"/>
  <c r="AH34" i="1"/>
  <c r="AH74" i="1"/>
  <c r="AH67" i="1"/>
  <c r="AH65" i="1"/>
  <c r="AH53" i="1"/>
  <c r="AH36" i="1"/>
  <c r="AH25" i="1"/>
  <c r="AH58" i="1"/>
  <c r="AH20" i="1"/>
  <c r="AH44" i="1"/>
  <c r="AH45" i="1"/>
  <c r="AH28" i="1"/>
  <c r="AH59" i="1"/>
  <c r="AH57" i="1"/>
  <c r="AH19" i="1"/>
  <c r="AH30" i="1"/>
  <c r="AH26" i="1"/>
  <c r="AH39" i="1"/>
  <c r="AH51" i="1"/>
  <c r="AH37" i="1"/>
  <c r="AH50" i="1"/>
  <c r="AH75" i="1"/>
  <c r="AH52" i="1"/>
  <c r="AH54" i="1"/>
  <c r="AH69" i="1"/>
  <c r="AH55" i="1"/>
  <c r="AH70" i="1"/>
  <c r="AH71" i="1"/>
  <c r="AH49" i="1"/>
  <c r="AH68" i="1"/>
  <c r="AH13" i="1"/>
  <c r="AH11" i="1"/>
  <c r="AH8" i="1"/>
  <c r="AH15" i="1"/>
  <c r="AH12" i="1"/>
  <c r="AH5" i="1"/>
  <c r="AH9" i="1"/>
  <c r="AH7" i="1"/>
  <c r="AH10" i="1"/>
  <c r="R45" i="1"/>
  <c r="Q45" i="1"/>
  <c r="P45" i="1"/>
  <c r="O45" i="1"/>
  <c r="R44" i="1"/>
  <c r="Q44" i="1"/>
  <c r="P44" i="1"/>
  <c r="O44" i="1"/>
  <c r="R43" i="1"/>
  <c r="Q43" i="1"/>
  <c r="P43" i="1"/>
  <c r="O43" i="1"/>
  <c r="R42" i="1"/>
  <c r="Q42" i="1"/>
  <c r="P42" i="1"/>
  <c r="O42" i="1"/>
  <c r="R41" i="1"/>
  <c r="Q41" i="1"/>
  <c r="P41" i="1"/>
  <c r="O41" i="1"/>
  <c r="R40" i="1"/>
  <c r="Q40" i="1"/>
  <c r="P40" i="1"/>
  <c r="O40" i="1"/>
  <c r="R39" i="1"/>
  <c r="Q39" i="1"/>
  <c r="P39" i="1"/>
  <c r="O39" i="1"/>
  <c r="R38" i="1"/>
  <c r="Q38" i="1"/>
  <c r="P38" i="1"/>
  <c r="O38" i="1"/>
  <c r="R37" i="1"/>
  <c r="Q37" i="1"/>
  <c r="P37" i="1"/>
  <c r="O37" i="1"/>
  <c r="R36" i="1"/>
  <c r="Q36" i="1"/>
  <c r="P36" i="1"/>
  <c r="O36" i="1"/>
  <c r="R35" i="1"/>
  <c r="Q35" i="1"/>
  <c r="P35" i="1"/>
  <c r="O35" i="1"/>
  <c r="R34" i="1"/>
  <c r="Q34" i="1"/>
  <c r="P34" i="1"/>
  <c r="O34" i="1"/>
  <c r="R30" i="1"/>
  <c r="Q30" i="1"/>
  <c r="P30" i="1"/>
  <c r="O30" i="1"/>
  <c r="R29" i="1"/>
  <c r="Q29" i="1"/>
  <c r="P29" i="1"/>
  <c r="O29" i="1"/>
  <c r="R28" i="1"/>
  <c r="Q28" i="1"/>
  <c r="P28" i="1"/>
  <c r="O28" i="1"/>
  <c r="R27" i="1"/>
  <c r="Q27" i="1"/>
  <c r="P27" i="1"/>
  <c r="O27" i="1"/>
  <c r="R26" i="1"/>
  <c r="Q26" i="1"/>
  <c r="P26" i="1"/>
  <c r="O26" i="1"/>
  <c r="R25" i="1"/>
  <c r="Q25" i="1"/>
  <c r="P25" i="1"/>
  <c r="O25" i="1"/>
  <c r="R24" i="1"/>
  <c r="Q24" i="1"/>
  <c r="P24" i="1"/>
  <c r="O24" i="1"/>
  <c r="R23" i="1"/>
  <c r="Q23" i="1"/>
  <c r="P23" i="1"/>
  <c r="O23" i="1"/>
  <c r="R22" i="1"/>
  <c r="Q22" i="1"/>
  <c r="P22" i="1"/>
  <c r="O22" i="1"/>
  <c r="R21" i="1"/>
  <c r="Q21" i="1"/>
  <c r="P21" i="1"/>
  <c r="O21" i="1"/>
  <c r="R20" i="1"/>
  <c r="Q20" i="1"/>
  <c r="P20" i="1"/>
  <c r="O20" i="1"/>
  <c r="R19" i="1"/>
  <c r="Q19" i="1"/>
  <c r="P19" i="1"/>
  <c r="O19" i="1"/>
  <c r="R5" i="1"/>
  <c r="R6" i="1"/>
  <c r="R7" i="1"/>
  <c r="R8" i="1"/>
  <c r="R9" i="1"/>
  <c r="R10" i="1"/>
  <c r="R11" i="1"/>
  <c r="R12" i="1"/>
  <c r="R13" i="1"/>
  <c r="R14" i="1"/>
  <c r="R15" i="1"/>
  <c r="R4" i="1"/>
  <c r="Q5" i="1"/>
  <c r="Q6" i="1"/>
  <c r="Q7" i="1"/>
  <c r="Q8" i="1"/>
  <c r="Q9" i="1"/>
  <c r="Q10" i="1"/>
  <c r="Q11" i="1"/>
  <c r="Q12" i="1"/>
  <c r="Q13" i="1"/>
  <c r="Q14" i="1"/>
  <c r="Q15" i="1"/>
  <c r="P4" i="1"/>
  <c r="P5" i="1"/>
  <c r="P6" i="1"/>
  <c r="P7" i="1"/>
  <c r="P8" i="1"/>
  <c r="P9" i="1"/>
  <c r="P10" i="1"/>
  <c r="P11" i="1"/>
  <c r="P12" i="1"/>
  <c r="P13" i="1"/>
  <c r="P14" i="1"/>
  <c r="P15" i="1"/>
  <c r="O5" i="1"/>
  <c r="O6" i="1"/>
  <c r="O7" i="1"/>
  <c r="O8" i="1"/>
  <c r="O9" i="1"/>
  <c r="O10" i="1"/>
  <c r="O11" i="1"/>
  <c r="O12" i="1"/>
  <c r="O13" i="1"/>
  <c r="O14" i="1"/>
  <c r="O15" i="1"/>
  <c r="O4" i="1"/>
  <c r="BH59" i="1"/>
  <c r="BH28" i="1"/>
  <c r="BH13" i="1"/>
  <c r="BH26" i="1"/>
  <c r="BH9" i="1"/>
  <c r="BH70" i="1"/>
  <c r="BH11" i="1"/>
  <c r="BH64" i="1"/>
  <c r="BH55" i="1"/>
  <c r="BH21" i="1"/>
  <c r="BH58" i="1"/>
  <c r="BH24" i="1"/>
  <c r="BH68" i="1"/>
  <c r="BD49" i="1" a="1"/>
  <c r="BH51" i="1"/>
  <c r="BH4" i="1"/>
  <c r="BH37" i="1"/>
  <c r="BH50" i="1"/>
  <c r="BH43" i="1"/>
  <c r="BH25" i="1"/>
  <c r="BH22" i="1"/>
  <c r="BH19" i="1"/>
  <c r="BH27" i="1"/>
  <c r="BH6" i="1"/>
  <c r="BD64" i="1" a="1"/>
  <c r="BH15" i="1"/>
  <c r="BH71" i="1"/>
  <c r="BH8" i="1"/>
  <c r="BH75" i="1"/>
  <c r="BH7" i="1"/>
  <c r="BH34" i="1"/>
  <c r="BH10" i="1"/>
  <c r="BH42" i="1"/>
  <c r="BH36" i="1"/>
  <c r="BH38" i="1"/>
  <c r="BH72" i="1"/>
  <c r="BH57" i="1"/>
  <c r="BH30" i="1"/>
  <c r="BD19" i="1" a="1"/>
  <c r="BH53" i="1"/>
  <c r="BH54" i="1"/>
  <c r="BH20" i="1"/>
  <c r="BH60" i="1"/>
  <c r="BH14" i="1"/>
  <c r="BD4" i="1" a="1"/>
  <c r="BH44" i="1"/>
  <c r="BH73" i="1"/>
  <c r="BH5" i="1"/>
  <c r="BH66" i="1"/>
  <c r="BH12" i="1"/>
  <c r="BH69" i="1"/>
  <c r="BH45" i="1"/>
  <c r="BH35" i="1"/>
  <c r="BH65" i="1"/>
  <c r="BH74" i="1"/>
  <c r="BD34" i="1" a="1"/>
  <c r="BH41" i="1"/>
  <c r="BH67" i="1"/>
  <c r="BH29" i="1"/>
  <c r="BH49" i="1"/>
  <c r="BH39" i="1"/>
  <c r="BH56" i="1"/>
  <c r="BH40" i="1"/>
  <c r="BH52" i="1"/>
  <c r="BH23" i="1"/>
  <c r="BD19" i="1" l="1"/>
  <c r="BE19" i="1" s="1"/>
  <c r="BF19" i="1" s="1"/>
  <c r="BG19" i="1" s="1"/>
  <c r="BD20" i="1"/>
  <c r="BE20" i="1" s="1"/>
  <c r="BD28" i="1"/>
  <c r="BE28" i="1" s="1"/>
  <c r="BD29" i="1"/>
  <c r="BE29" i="1" s="1"/>
  <c r="BD26" i="1"/>
  <c r="BE26" i="1" s="1"/>
  <c r="BD23" i="1"/>
  <c r="BE23" i="1" s="1"/>
  <c r="BD27" i="1"/>
  <c r="BE27" i="1" s="1"/>
  <c r="BF27" i="1" s="1"/>
  <c r="BG27" i="1" s="1"/>
  <c r="BD21" i="1"/>
  <c r="BE21" i="1" s="1"/>
  <c r="BD24" i="1"/>
  <c r="BE24" i="1" s="1"/>
  <c r="BD30" i="1"/>
  <c r="BE30" i="1" s="1"/>
  <c r="BD22" i="1"/>
  <c r="BE22" i="1" s="1"/>
  <c r="BD25" i="1"/>
  <c r="BE25" i="1" s="1"/>
  <c r="BI49" i="1"/>
  <c r="BK49" i="1" s="1"/>
  <c r="BY33" i="1" s="1"/>
  <c r="BI4" i="1"/>
  <c r="BK4" i="1" s="1"/>
  <c r="BY17" i="1" s="1"/>
  <c r="BD49" i="1"/>
  <c r="BE49" i="1" s="1"/>
  <c r="BF49" i="1" s="1"/>
  <c r="BG49" i="1" s="1"/>
  <c r="BG61" i="1" s="1"/>
  <c r="BD58" i="1"/>
  <c r="BE58" i="1" s="1"/>
  <c r="BF58" i="1" s="1"/>
  <c r="BG58" i="1" s="1"/>
  <c r="BD55" i="1"/>
  <c r="BE55" i="1" s="1"/>
  <c r="BF55" i="1" s="1"/>
  <c r="BG55" i="1" s="1"/>
  <c r="BD51" i="1"/>
  <c r="BE51" i="1" s="1"/>
  <c r="BF51" i="1" s="1"/>
  <c r="BG51" i="1" s="1"/>
  <c r="BD54" i="1"/>
  <c r="BE54" i="1" s="1"/>
  <c r="BF54" i="1" s="1"/>
  <c r="BG54" i="1" s="1"/>
  <c r="BD53" i="1"/>
  <c r="BE53" i="1" s="1"/>
  <c r="BF53" i="1" s="1"/>
  <c r="BG53" i="1" s="1"/>
  <c r="BD57" i="1"/>
  <c r="BE57" i="1" s="1"/>
  <c r="BF57" i="1" s="1"/>
  <c r="BG57" i="1" s="1"/>
  <c r="BD59" i="1"/>
  <c r="BE59" i="1" s="1"/>
  <c r="BF59" i="1" s="1"/>
  <c r="BG59" i="1" s="1"/>
  <c r="BD52" i="1"/>
  <c r="BE52" i="1" s="1"/>
  <c r="BF52" i="1" s="1"/>
  <c r="BG52" i="1" s="1"/>
  <c r="BD50" i="1"/>
  <c r="BE50" i="1" s="1"/>
  <c r="BF50" i="1" s="1"/>
  <c r="BG50" i="1" s="1"/>
  <c r="BD60" i="1"/>
  <c r="BE60" i="1" s="1"/>
  <c r="BF60" i="1" s="1"/>
  <c r="BG60" i="1" s="1"/>
  <c r="BD56" i="1"/>
  <c r="BE56" i="1" s="1"/>
  <c r="BF56" i="1" s="1"/>
  <c r="BG56" i="1" s="1"/>
  <c r="BI34" i="1"/>
  <c r="BK34" i="1" s="1"/>
  <c r="BY18" i="1" s="1"/>
  <c r="BD14" i="1"/>
  <c r="BE14" i="1" s="1"/>
  <c r="BF14" i="1" s="1"/>
  <c r="BG14" i="1" s="1"/>
  <c r="BD7" i="1"/>
  <c r="BE7" i="1" s="1"/>
  <c r="BF7" i="1" s="1"/>
  <c r="BG7" i="1" s="1"/>
  <c r="BD10" i="1"/>
  <c r="BE10" i="1" s="1"/>
  <c r="BF10" i="1" s="1"/>
  <c r="BG10" i="1" s="1"/>
  <c r="BD11" i="1"/>
  <c r="BE11" i="1" s="1"/>
  <c r="BF11" i="1" s="1"/>
  <c r="BG11" i="1" s="1"/>
  <c r="BD15" i="1"/>
  <c r="BE15" i="1" s="1"/>
  <c r="BF15" i="1" s="1"/>
  <c r="BG15" i="1" s="1"/>
  <c r="BD5" i="1"/>
  <c r="BE5" i="1" s="1"/>
  <c r="BF5" i="1" s="1"/>
  <c r="BG5" i="1" s="1"/>
  <c r="BD13" i="1"/>
  <c r="BE13" i="1" s="1"/>
  <c r="BF13" i="1" s="1"/>
  <c r="BG13" i="1" s="1"/>
  <c r="BD6" i="1"/>
  <c r="BE6" i="1" s="1"/>
  <c r="BF6" i="1" s="1"/>
  <c r="BG6" i="1" s="1"/>
  <c r="BD8" i="1"/>
  <c r="BE8" i="1" s="1"/>
  <c r="BF8" i="1" s="1"/>
  <c r="BG8" i="1" s="1"/>
  <c r="BD9" i="1"/>
  <c r="BE9" i="1" s="1"/>
  <c r="BF9" i="1" s="1"/>
  <c r="BG9" i="1" s="1"/>
  <c r="BD12" i="1"/>
  <c r="BE12" i="1" s="1"/>
  <c r="BF12" i="1" s="1"/>
  <c r="BG12" i="1" s="1"/>
  <c r="BD4" i="1"/>
  <c r="BE4" i="1" s="1"/>
  <c r="BF4" i="1" s="1"/>
  <c r="BG4" i="1" s="1"/>
  <c r="BG16" i="1" s="1"/>
  <c r="BD37" i="1"/>
  <c r="BE37" i="1" s="1"/>
  <c r="BF37" i="1" s="1"/>
  <c r="BG37" i="1" s="1"/>
  <c r="BD36" i="1"/>
  <c r="BE36" i="1" s="1"/>
  <c r="BF36" i="1" s="1"/>
  <c r="BG36" i="1" s="1"/>
  <c r="BD35" i="1"/>
  <c r="BE35" i="1" s="1"/>
  <c r="BF35" i="1" s="1"/>
  <c r="BG35" i="1" s="1"/>
  <c r="BD41" i="1"/>
  <c r="BE41" i="1" s="1"/>
  <c r="BF41" i="1" s="1"/>
  <c r="BG41" i="1" s="1"/>
  <c r="BD44" i="1"/>
  <c r="BE44" i="1" s="1"/>
  <c r="BF44" i="1" s="1"/>
  <c r="BG44" i="1" s="1"/>
  <c r="BD42" i="1"/>
  <c r="BE42" i="1" s="1"/>
  <c r="BF42" i="1" s="1"/>
  <c r="BG42" i="1" s="1"/>
  <c r="BD45" i="1"/>
  <c r="BE45" i="1" s="1"/>
  <c r="BF45" i="1" s="1"/>
  <c r="BG45" i="1" s="1"/>
  <c r="BD38" i="1"/>
  <c r="BE38" i="1" s="1"/>
  <c r="BF38" i="1" s="1"/>
  <c r="BG38" i="1" s="1"/>
  <c r="BD40" i="1"/>
  <c r="BE40" i="1" s="1"/>
  <c r="BF40" i="1" s="1"/>
  <c r="BG40" i="1" s="1"/>
  <c r="BD34" i="1"/>
  <c r="BE34" i="1" s="1"/>
  <c r="BF34" i="1" s="1"/>
  <c r="BG34" i="1" s="1"/>
  <c r="BD43" i="1"/>
  <c r="BE43" i="1" s="1"/>
  <c r="BF43" i="1" s="1"/>
  <c r="BG43" i="1" s="1"/>
  <c r="BD39" i="1"/>
  <c r="BE39" i="1" s="1"/>
  <c r="BF39" i="1" s="1"/>
  <c r="BG39" i="1" s="1"/>
  <c r="BD74" i="1"/>
  <c r="BE74" i="1" s="1"/>
  <c r="BF74" i="1" s="1"/>
  <c r="BG74" i="1" s="1"/>
  <c r="BD73" i="1"/>
  <c r="BE73" i="1" s="1"/>
  <c r="BF73" i="1" s="1"/>
  <c r="BG73" i="1" s="1"/>
  <c r="BD64" i="1"/>
  <c r="BE64" i="1" s="1"/>
  <c r="BF64" i="1" s="1"/>
  <c r="BG64" i="1" s="1"/>
  <c r="BD71" i="1"/>
  <c r="BE71" i="1" s="1"/>
  <c r="BF71" i="1" s="1"/>
  <c r="BG71" i="1" s="1"/>
  <c r="BD66" i="1"/>
  <c r="BE66" i="1" s="1"/>
  <c r="BF66" i="1" s="1"/>
  <c r="BG66" i="1" s="1"/>
  <c r="BD75" i="1"/>
  <c r="BE75" i="1" s="1"/>
  <c r="BF75" i="1" s="1"/>
  <c r="BD70" i="1"/>
  <c r="BE70" i="1" s="1"/>
  <c r="BF70" i="1" s="1"/>
  <c r="BG70" i="1" s="1"/>
  <c r="BD65" i="1"/>
  <c r="BE65" i="1" s="1"/>
  <c r="BF65" i="1" s="1"/>
  <c r="BG65" i="1" s="1"/>
  <c r="BD67" i="1"/>
  <c r="BE67" i="1" s="1"/>
  <c r="BF67" i="1" s="1"/>
  <c r="BG67" i="1" s="1"/>
  <c r="BD68" i="1"/>
  <c r="BE68" i="1" s="1"/>
  <c r="BF68" i="1" s="1"/>
  <c r="BG68" i="1" s="1"/>
  <c r="BD72" i="1"/>
  <c r="BE72" i="1" s="1"/>
  <c r="BF72" i="1" s="1"/>
  <c r="BG72" i="1" s="1"/>
  <c r="BD69" i="1"/>
  <c r="BE69" i="1" s="1"/>
  <c r="BF69" i="1" s="1"/>
  <c r="BG69" i="1" s="1"/>
  <c r="BI64" i="1"/>
  <c r="BK64" i="1" s="1"/>
  <c r="BY19" i="1" s="1"/>
  <c r="BG75" i="1"/>
  <c r="BF24" i="1"/>
  <c r="BG24" i="1" s="1"/>
  <c r="BF28" i="1"/>
  <c r="BG28" i="1" s="1"/>
  <c r="BF22" i="1"/>
  <c r="BG22" i="1" s="1"/>
  <c r="BF29" i="1"/>
  <c r="BG29" i="1" s="1"/>
  <c r="BF20" i="1"/>
  <c r="BG20" i="1" s="1"/>
  <c r="BF25" i="1"/>
  <c r="BG25" i="1" s="1"/>
  <c r="BF21" i="1"/>
  <c r="BG21" i="1" s="1"/>
  <c r="BF23" i="1"/>
  <c r="BG23" i="1" s="1"/>
  <c r="BF26" i="1"/>
  <c r="BG26" i="1" s="1"/>
  <c r="BI19" i="1"/>
  <c r="BK19" i="1" s="1"/>
  <c r="BY32" i="1" s="1"/>
  <c r="BF30" i="1"/>
  <c r="BG30" i="1" s="1"/>
  <c r="BG46" i="1" l="1"/>
  <c r="BG76" i="1"/>
  <c r="BG31" i="1"/>
</calcChain>
</file>

<file path=xl/sharedStrings.xml><?xml version="1.0" encoding="utf-8"?>
<sst xmlns="http://schemas.openxmlformats.org/spreadsheetml/2006/main" count="570" uniqueCount="163">
  <si>
    <t>t (min)</t>
  </si>
  <si>
    <t>A220</t>
  </si>
  <si>
    <t>A240</t>
  </si>
  <si>
    <t>1mm, 0.3, 250 rpm (1)</t>
  </si>
  <si>
    <t>1mm, 0.3, 250 rpm (2)</t>
  </si>
  <si>
    <t>1mm, 0.3, 250 rpm (3)</t>
  </si>
  <si>
    <t>0.25mm, 0.3, 250 rpm (1)</t>
  </si>
  <si>
    <t>0.25mm, 0.3, 250 rpm (2)</t>
  </si>
  <si>
    <t>0.25mm, 0.3, 250 rpm (3)</t>
  </si>
  <si>
    <t>1mm, 0.5, 250 rpm (1)</t>
  </si>
  <si>
    <t>1mm, 0.5, 250 rpm (2)</t>
  </si>
  <si>
    <t>1mm, 0.5, 250 rpm (3)</t>
  </si>
  <si>
    <t>0.25mm, 0.5, 250 rpm (1)</t>
  </si>
  <si>
    <t>0.25mm, 0.5, 250 rpm (2)</t>
  </si>
  <si>
    <t>0.25mm, 0.5, 250 rpm (3)</t>
  </si>
  <si>
    <t>1mm, 0.3, 250 rpm (mittel)</t>
  </si>
  <si>
    <t>SW A220</t>
  </si>
  <si>
    <t>SW A240</t>
  </si>
  <si>
    <t>0.25mm, 0.3, 250 rpm (mittel)</t>
  </si>
  <si>
    <t>1mm, 0.5, 250 rpm (mittel)</t>
  </si>
  <si>
    <t>0.25mm, 0.5, 250 rpm (mittel)</t>
  </si>
  <si>
    <t>1 mm, 0.7, 250 rpm (1)</t>
  </si>
  <si>
    <t>1 mm, 0.7, 250 rpm (2)</t>
  </si>
  <si>
    <t>1 mm, 0.7, 250 rpm (3)</t>
  </si>
  <si>
    <t>0,25 mm, 0.7, 250 rpm (1)</t>
  </si>
  <si>
    <t>0,25 mm, 0.7, 250 rpm (2)</t>
  </si>
  <si>
    <t>0,25 mm, 0.7, 250 rpm (3)</t>
  </si>
  <si>
    <t>Extinktionskoeffizienten</t>
  </si>
  <si>
    <r>
      <t>ε</t>
    </r>
    <r>
      <rPr>
        <sz val="11"/>
        <color theme="1"/>
        <rFont val="Calibri"/>
        <family val="2"/>
        <scheme val="minor"/>
      </rPr>
      <t>PVPVA,220</t>
    </r>
  </si>
  <si>
    <t>εPVPVA,240</t>
  </si>
  <si>
    <t>εIND,220</t>
  </si>
  <si>
    <t>εIND,240</t>
  </si>
  <si>
    <t>wPVPVA</t>
  </si>
  <si>
    <t>wIND</t>
  </si>
  <si>
    <t>1 mm, 0.7, 250 rpm (mittel)</t>
  </si>
  <si>
    <t>1 mm, 0.3, 0 rpm (1)</t>
  </si>
  <si>
    <t>1 mm, 0.3, 0 rpm (2)</t>
  </si>
  <si>
    <t>1 mm, 0.3, 0 rpm (3)</t>
  </si>
  <si>
    <t xml:space="preserve">   </t>
  </si>
  <si>
    <t>1 mm, 0.3, 50 rpm (1)</t>
  </si>
  <si>
    <t>1 mm, 0.3, 50 rpm (2)</t>
  </si>
  <si>
    <t>1 mm, 0.3, 50 rpm (3)</t>
  </si>
  <si>
    <t>1 mm, 0.3, 100 rpm (1)</t>
  </si>
  <si>
    <t>1 mm, 0.3, 100 rpm (2)</t>
  </si>
  <si>
    <t>1 mm, 0.3, 100 rpm (3)</t>
  </si>
  <si>
    <t>0.25 mm, 0.7, 250 rpm (mittel)</t>
  </si>
  <si>
    <t>1 mm, 0.3, 0 rpm (mittel)</t>
  </si>
  <si>
    <t>wPVPVA(1)</t>
  </si>
  <si>
    <t>wIND(1)</t>
  </si>
  <si>
    <t>wPVPVA(2)</t>
  </si>
  <si>
    <t>wIND(2)</t>
  </si>
  <si>
    <t>wPVPVA(3)</t>
  </si>
  <si>
    <t>wIND(3)</t>
  </si>
  <si>
    <t>wmittel</t>
  </si>
  <si>
    <t>SW PVPVA</t>
  </si>
  <si>
    <t>SW IND</t>
  </si>
  <si>
    <t>1 mm, 0.3, 150 rpm (1)</t>
  </si>
  <si>
    <t>1 mm, 0.3, 150 rpm (3)</t>
  </si>
  <si>
    <t>1 mm, 0.3, 200 rpm (1)</t>
  </si>
  <si>
    <t>1 mm, 0.3, 200 rpm (2)</t>
  </si>
  <si>
    <t>1 mm, 0.3, 200 rpm (3)</t>
  </si>
  <si>
    <t>1 mm, 0.3, 150 rpm (2)</t>
  </si>
  <si>
    <t>?</t>
  </si>
  <si>
    <t xml:space="preserve">    </t>
  </si>
  <si>
    <t>1 mm, 0.3, 50 rpm (mittel)</t>
  </si>
  <si>
    <t>1 mm, 0.3, 100 rpm (mittel)</t>
  </si>
  <si>
    <t>1 mm, 0.3, 150 rpm (mittel)</t>
  </si>
  <si>
    <t>1 mm, 0.3, 200 rpm (mittel)</t>
  </si>
  <si>
    <t>wDiss</t>
  </si>
  <si>
    <t>Parameter</t>
  </si>
  <si>
    <t>w20</t>
  </si>
  <si>
    <t>w2INF</t>
  </si>
  <si>
    <t>D12/m^2/s</t>
  </si>
  <si>
    <t>L0/m</t>
  </si>
  <si>
    <t>A0</t>
  </si>
  <si>
    <t>msol/kg</t>
  </si>
  <si>
    <t>mDiss</t>
  </si>
  <si>
    <t>wASD</t>
  </si>
  <si>
    <t>wDiff</t>
  </si>
  <si>
    <t>Sum</t>
  </si>
  <si>
    <t>scaling solver</t>
  </si>
  <si>
    <t>wASD,exp</t>
  </si>
  <si>
    <t>rho_0.3</t>
  </si>
  <si>
    <t>rho_0.5</t>
  </si>
  <si>
    <t>rho_0.7</t>
  </si>
  <si>
    <r>
      <t>D</t>
    </r>
    <r>
      <rPr>
        <vertAlign val="subscript"/>
        <sz val="11"/>
        <color theme="1"/>
        <rFont val="Calibri"/>
        <family val="2"/>
        <scheme val="minor"/>
      </rPr>
      <t>FICK,Auflösung</t>
    </r>
  </si>
  <si>
    <t>Components</t>
  </si>
  <si>
    <t>indomethacin</t>
  </si>
  <si>
    <t>water</t>
  </si>
  <si>
    <t>pvpva64</t>
  </si>
  <si>
    <t>Mixtures</t>
  </si>
  <si>
    <t>Lnphis</t>
  </si>
  <si>
    <t>DL</t>
  </si>
  <si>
    <t>t</t>
  </si>
  <si>
    <t>ww/-</t>
  </si>
  <si>
    <t>L=1mm</t>
  </si>
  <si>
    <t>Dl=0.3</t>
  </si>
  <si>
    <t>erstemesung</t>
  </si>
  <si>
    <t>wsim/-</t>
  </si>
  <si>
    <t>ARD</t>
  </si>
  <si>
    <t>DL=0.5</t>
  </si>
  <si>
    <t>t/min</t>
  </si>
  <si>
    <t>t/sec</t>
  </si>
  <si>
    <t>Sorption</t>
  </si>
  <si>
    <t>Auflösung</t>
  </si>
  <si>
    <t>D</t>
  </si>
  <si>
    <t>RH</t>
  </si>
  <si>
    <t>ww</t>
  </si>
  <si>
    <t>DL0.3</t>
  </si>
  <si>
    <t>DL0.5</t>
  </si>
  <si>
    <t>DL0.7</t>
  </si>
  <si>
    <t>THFaktor</t>
  </si>
  <si>
    <t>AverageTH</t>
  </si>
  <si>
    <t>DTH/m^2/s</t>
  </si>
  <si>
    <t>DTH</t>
  </si>
  <si>
    <t>logD</t>
  </si>
  <si>
    <t>m03/g</t>
  </si>
  <si>
    <t>w2INF01</t>
  </si>
  <si>
    <t>w2INF02</t>
  </si>
  <si>
    <t>w2INF03</t>
  </si>
  <si>
    <t>w2INF04</t>
  </si>
  <si>
    <t>w2INF05</t>
  </si>
  <si>
    <t>THFaktor Average</t>
  </si>
  <si>
    <t>Scaling</t>
  </si>
  <si>
    <r>
      <t>DTH</t>
    </r>
    <r>
      <rPr>
        <vertAlign val="subscript"/>
        <sz val="11"/>
        <color theme="1"/>
        <rFont val="Calibri"/>
        <family val="2"/>
        <scheme val="minor"/>
      </rPr>
      <t>,Auflösung</t>
    </r>
  </si>
  <si>
    <t>w2INF06</t>
  </si>
  <si>
    <t>m06/kg</t>
  </si>
  <si>
    <t>m05/kg</t>
  </si>
  <si>
    <t>m04/kg</t>
  </si>
  <si>
    <t>m02/kg</t>
  </si>
  <si>
    <t>m01/kg</t>
  </si>
  <si>
    <t>logDw</t>
  </si>
  <si>
    <t>logDTH</t>
  </si>
  <si>
    <t>L=0.25mm</t>
  </si>
  <si>
    <t>DL=0.7</t>
  </si>
  <si>
    <t>DL=0.3</t>
  </si>
  <si>
    <t>1mm</t>
  </si>
  <si>
    <t>eingewogene Masse PVPVA</t>
  </si>
  <si>
    <t>eingewogene Masse Ind</t>
  </si>
  <si>
    <t>0.25mm</t>
  </si>
  <si>
    <t>amorphe Löslichkeit IND/Water</t>
  </si>
  <si>
    <t>[mg]/500 mL</t>
  </si>
  <si>
    <t>xind</t>
  </si>
  <si>
    <t>Mwind</t>
  </si>
  <si>
    <t>Mw</t>
  </si>
  <si>
    <t>kristall lösl</t>
  </si>
  <si>
    <t>amorphe lösl</t>
  </si>
  <si>
    <t>PVPVA gelöste Masse1 [mg]</t>
  </si>
  <si>
    <t>Ind gelöste Masse1 [mg]</t>
  </si>
  <si>
    <t>PVPVA Release1</t>
  </si>
  <si>
    <t>Ind Release1</t>
  </si>
  <si>
    <t>PVPVA gelösteMasse2</t>
  </si>
  <si>
    <t>IND gelöste Masse2</t>
  </si>
  <si>
    <t>PVPVArelease2</t>
  </si>
  <si>
    <t>IND release 2</t>
  </si>
  <si>
    <t>PVPVA gelösteMasse3</t>
  </si>
  <si>
    <t>IND gelöste Masse3</t>
  </si>
  <si>
    <t>PVPVArelease3</t>
  </si>
  <si>
    <t>IND release 3</t>
  </si>
  <si>
    <t>SW release PVPVA</t>
  </si>
  <si>
    <t>SW release IND</t>
  </si>
  <si>
    <t>MW PVPVA release</t>
  </si>
  <si>
    <t>MW IND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</si>
</sst>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9" borderId="0" applyNumberFormat="0" applyBorder="0" applyAlignment="0" applyProtection="0"/>
  </cellStyleXfs>
  <cellXfs count="19">
    <xf numFmtId="0" fontId="0" fillId="0" borderId="0" xfId="0"/>
    <xf numFmtId="0" fontId="0" fillId="0" borderId="0" xfId="0" applyFill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11" fontId="0" fillId="0" borderId="0" xfId="0" applyNumberFormat="1"/>
    <xf numFmtId="0" fontId="0" fillId="8" borderId="0" xfId="0" applyFill="1"/>
    <xf numFmtId="0" fontId="2" fillId="9" borderId="0" xfId="1"/>
    <xf numFmtId="11" fontId="2" fillId="9" borderId="0" xfId="1" applyNumberFormat="1"/>
    <xf numFmtId="0" fontId="0" fillId="0" borderId="0" xfId="0" applyNumberFormat="1"/>
    <xf numFmtId="0" fontId="3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Gut" xfId="1" builtinId="26"/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Auflösungsmessungen!$Y$4:$Y$15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Auflösungsmessungen!$AH$4:$AH$15</c:f>
              <c:numCache>
                <c:formatCode>General</c:formatCode>
                <c:ptCount val="12"/>
                <c:pt idx="0">
                  <c:v>5.5109756602761552E-6</c:v>
                </c:pt>
                <c:pt idx="1">
                  <c:v>8.7775678556779656E-6</c:v>
                </c:pt>
                <c:pt idx="2">
                  <c:v>1.3001697009130918E-5</c:v>
                </c:pt>
                <c:pt idx="3">
                  <c:v>2.0905650934732389E-5</c:v>
                </c:pt>
                <c:pt idx="4">
                  <c:v>2.8410443727831135E-5</c:v>
                </c:pt>
                <c:pt idx="5">
                  <c:v>3.5274948174791667E-5</c:v>
                </c:pt>
                <c:pt idx="6">
                  <c:v>4.2195456150948338E-5</c:v>
                </c:pt>
                <c:pt idx="7">
                  <c:v>4.8007333233861691E-5</c:v>
                </c:pt>
                <c:pt idx="8">
                  <c:v>5.3462013182040092E-5</c:v>
                </c:pt>
                <c:pt idx="9">
                  <c:v>5.9115760607639283E-5</c:v>
                </c:pt>
                <c:pt idx="10">
                  <c:v>6.2702542361553181E-5</c:v>
                </c:pt>
                <c:pt idx="11">
                  <c:v>6.5734272190305388E-5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75-4018-A6D8-BFA78DDC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00056"/>
        <c:axId val="356200448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Auflösungsmessungen!$Y$4:$Y$15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Auflösungsmessungen!$BF$4:$BF$15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75-4018-A6D8-BFA78DDC3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00056"/>
        <c:axId val="356200448"/>
      </c:scatterChart>
      <c:valAx>
        <c:axId val="356200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56200448"/>
        <c:crosses val="autoZero"/>
        <c:crossBetween val="midCat"/>
      </c:valAx>
      <c:valAx>
        <c:axId val="3562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5620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Auflösungsmessungen!$BW$17:$BW$19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Auflösungsmessungen!$BX$17:$BX$19</c:f>
              <c:numCache>
                <c:formatCode>General</c:formatCode>
                <c:ptCount val="3"/>
                <c:pt idx="0">
                  <c:v>-9.3251260687530415</c:v>
                </c:pt>
                <c:pt idx="1">
                  <c:v>-10.174295900361212</c:v>
                </c:pt>
                <c:pt idx="2">
                  <c:v>-10.39990473131855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0-4BAF-B6CC-CC4F7497ABB9}"/>
            </c:ext>
          </c:extLst>
        </c:ser>
        <c:ser>
          <c:idx val="0"/>
          <c:order val="1"/>
          <c:spPr>
            <a:ln w="19050">
              <a:noFill/>
            </a:ln>
          </c:spPr>
          <c:xVal>
            <c:numRef>
              <c:f>Auflösungsmessungen!$BW$13:$BW$15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Auflösungsmessungen!$BX$13:$BX$15</c:f>
              <c:numCache>
                <c:formatCode>General</c:formatCode>
                <c:ptCount val="3"/>
                <c:pt idx="0">
                  <c:v>-11.063370645370247</c:v>
                </c:pt>
                <c:pt idx="1">
                  <c:v>-11.732385225329208</c:v>
                </c:pt>
                <c:pt idx="2">
                  <c:v>-11.684042259632417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5E-48AA-B67C-A88462E2D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196136"/>
        <c:axId val="356195352"/>
      </c:scatterChart>
      <c:valAx>
        <c:axId val="356196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56195352"/>
        <c:crosses val="autoZero"/>
        <c:crossBetween val="midCat"/>
      </c:valAx>
      <c:valAx>
        <c:axId val="356195352"/>
        <c:scaling>
          <c:orientation val="minMax"/>
          <c:max val="-8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561961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Auflösungsmessungen!$BW$17:$BW$19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Auflösungsmessungen!$BY$17:$BY$19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7-4F08-9C9B-CC05A3F91F69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Auflösungsmessungen!$BW$13:$BW$15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Auflösungsmessungen!$BY$13:$BY$15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37-4F08-9C9B-CC05A3F91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276560"/>
        <c:axId val="78133016"/>
      </c:scatterChart>
      <c:valAx>
        <c:axId val="33927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33016"/>
        <c:crosses val="autoZero"/>
        <c:crossBetween val="midCat"/>
      </c:valAx>
      <c:valAx>
        <c:axId val="78133016"/>
        <c:scaling>
          <c:orientation val="minMax"/>
          <c:max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3927656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Auflösungsmessungen!$Y$19:$Y$30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Auflösungsmessungen!$AH$19:$AH$30</c:f>
              <c:numCache>
                <c:formatCode>General</c:formatCode>
                <c:ptCount val="12"/>
                <c:pt idx="0">
                  <c:v>2.8137302239894292E-6</c:v>
                </c:pt>
                <c:pt idx="1">
                  <c:v>6.4953789941899399E-6</c:v>
                </c:pt>
                <c:pt idx="2">
                  <c:v>1.0986895393643979E-5</c:v>
                </c:pt>
                <c:pt idx="3">
                  <c:v>1.6673045014893046E-5</c:v>
                </c:pt>
                <c:pt idx="4">
                  <c:v>1.9402815330531271E-5</c:v>
                </c:pt>
                <c:pt idx="5">
                  <c:v>2.0838607678777401E-5</c:v>
                </c:pt>
                <c:pt idx="6">
                  <c:v>2.2122635922703062E-5</c:v>
                </c:pt>
                <c:pt idx="7">
                  <c:v>2.3062995958272008E-5</c:v>
                </c:pt>
                <c:pt idx="8">
                  <c:v>2.4012439103724359E-5</c:v>
                </c:pt>
                <c:pt idx="9">
                  <c:v>2.4761118424966464E-5</c:v>
                </c:pt>
                <c:pt idx="10">
                  <c:v>2.570141463490414E-5</c:v>
                </c:pt>
                <c:pt idx="11">
                  <c:v>2.6771277779503878E-5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B-4DF9-9CC5-4C7F438A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6744"/>
        <c:axId val="78129096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Auflösungsmessungen!$Y$19:$Y$30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Auflösungsmessungen!$BF$19:$BF$30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AB-4DF9-9CC5-4C7F438A2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6744"/>
        <c:axId val="78129096"/>
      </c:scatterChart>
      <c:valAx>
        <c:axId val="78126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9096"/>
        <c:crosses val="autoZero"/>
        <c:crossBetween val="midCat"/>
      </c:valAx>
      <c:valAx>
        <c:axId val="781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Auflösungsmessungen!$Y$34:$Y$45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Auflösungsmessungen!$AH$34:$AH$45</c:f>
              <c:numCache>
                <c:formatCode>General</c:formatCode>
                <c:ptCount val="12"/>
                <c:pt idx="0">
                  <c:v>1.3305018838195281E-6</c:v>
                </c:pt>
                <c:pt idx="1">
                  <c:v>2.190167053353652E-6</c:v>
                </c:pt>
                <c:pt idx="2">
                  <c:v>3.2799246773253057E-6</c:v>
                </c:pt>
                <c:pt idx="3">
                  <c:v>5.3369406255441729E-6</c:v>
                </c:pt>
                <c:pt idx="4">
                  <c:v>6.4225396483617167E-6</c:v>
                </c:pt>
                <c:pt idx="5">
                  <c:v>8.1405246816124627E-6</c:v>
                </c:pt>
                <c:pt idx="6">
                  <c:v>9.1190730675826734E-6</c:v>
                </c:pt>
                <c:pt idx="7">
                  <c:v>1.0077631235734068E-5</c:v>
                </c:pt>
                <c:pt idx="8">
                  <c:v>1.1954065054455307E-5</c:v>
                </c:pt>
                <c:pt idx="9">
                  <c:v>1.3111275833424256E-5</c:v>
                </c:pt>
                <c:pt idx="10">
                  <c:v>1.4440623888320076E-5</c:v>
                </c:pt>
                <c:pt idx="11">
                  <c:v>1.580109265867955E-5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3-4922-95EC-97BDA151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920"/>
        <c:axId val="78130272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Auflösungsmessungen!$Y$34:$Y$45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Auflösungsmessungen!$BF$34:$BF$45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C3-4922-95EC-97BDA151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920"/>
        <c:axId val="78130272"/>
      </c:scatterChart>
      <c:valAx>
        <c:axId val="781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30272"/>
        <c:crosses val="autoZero"/>
        <c:crossBetween val="midCat"/>
      </c:valAx>
      <c:valAx>
        <c:axId val="7813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Auflösungsmessungen!$Y$49:$Y$60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Auflösungsmessungen!$AH$49:$AH$60</c:f>
              <c:numCache>
                <c:formatCode>General</c:formatCode>
                <c:ptCount val="12"/>
                <c:pt idx="0">
                  <c:v>1.2031419009970528E-6</c:v>
                </c:pt>
                <c:pt idx="1">
                  <c:v>2.0761126071999646E-6</c:v>
                </c:pt>
                <c:pt idx="2">
                  <c:v>2.9955888661123714E-6</c:v>
                </c:pt>
                <c:pt idx="3">
                  <c:v>4.0730621635154874E-6</c:v>
                </c:pt>
                <c:pt idx="4">
                  <c:v>5.2591867061084992E-6</c:v>
                </c:pt>
                <c:pt idx="5">
                  <c:v>6.3718116688668452E-6</c:v>
                </c:pt>
                <c:pt idx="6">
                  <c:v>7.3325129632265621E-6</c:v>
                </c:pt>
                <c:pt idx="7">
                  <c:v>8.3289084408072683E-6</c:v>
                </c:pt>
                <c:pt idx="8">
                  <c:v>9.2493101713730243E-6</c:v>
                </c:pt>
                <c:pt idx="9">
                  <c:v>1.0243434871482877E-5</c:v>
                </c:pt>
                <c:pt idx="10">
                  <c:v>1.1210757021361355E-5</c:v>
                </c:pt>
                <c:pt idx="11">
                  <c:v>1.2140337600257421E-5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6-4A55-9500-A04555E0A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624"/>
        <c:axId val="78125960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Auflösungsmessungen!$Y$49:$Y$60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Auflösungsmessungen!$BF$49:$BF$60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F6-4A55-9500-A04555E0A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2624"/>
        <c:axId val="78125960"/>
      </c:scatterChart>
      <c:valAx>
        <c:axId val="7813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5960"/>
        <c:crosses val="autoZero"/>
        <c:crossBetween val="midCat"/>
      </c:valAx>
      <c:valAx>
        <c:axId val="7812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3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Auflösungsmessungen!$Y$64:$Y$75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Auflösungsmessungen!$AH$64:$AH$75</c:f>
              <c:numCache>
                <c:formatCode>General</c:formatCode>
                <c:ptCount val="12"/>
                <c:pt idx="0">
                  <c:v>1.1956090464522944E-6</c:v>
                </c:pt>
                <c:pt idx="1">
                  <c:v>1.4272836690441112E-6</c:v>
                </c:pt>
                <c:pt idx="2">
                  <c:v>2.8487123901446484E-6</c:v>
                </c:pt>
                <c:pt idx="3">
                  <c:v>4.0244588700406578E-6</c:v>
                </c:pt>
                <c:pt idx="4">
                  <c:v>5.5089293262397778E-6</c:v>
                </c:pt>
                <c:pt idx="5">
                  <c:v>6.9399063768308619E-6</c:v>
                </c:pt>
                <c:pt idx="6">
                  <c:v>8.5149551131194908E-6</c:v>
                </c:pt>
                <c:pt idx="7">
                  <c:v>9.7415547399924442E-6</c:v>
                </c:pt>
                <c:pt idx="8">
                  <c:v>1.1209520926618106E-5</c:v>
                </c:pt>
                <c:pt idx="9">
                  <c:v>1.2653691819023266E-5</c:v>
                </c:pt>
                <c:pt idx="10">
                  <c:v>1.4191272727042827E-5</c:v>
                </c:pt>
                <c:pt idx="11">
                  <c:v>1.4909182373793246E-5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03-42D7-9DAA-FE036D7FB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5568"/>
        <c:axId val="78132232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Auflösungsmessungen!$Y$64:$Y$75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Auflösungsmessungen!$BF$64:$BF$75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03-42D7-9DAA-FE036D7FB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5568"/>
        <c:axId val="78132232"/>
      </c:scatterChart>
      <c:valAx>
        <c:axId val="7812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32232"/>
        <c:crosses val="autoZero"/>
        <c:crossBetween val="midCat"/>
      </c:valAx>
      <c:valAx>
        <c:axId val="7813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Auflösungsmessungen!$Y$79:$Y$82</c:f>
              <c:numCache>
                <c:formatCode>General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</c:numCache>
            </c:numRef>
          </c:xVal>
          <c:yVal>
            <c:numRef>
              <c:f>Auflösungsmessungen!$AH$79:$AH$82</c:f>
              <c:numCache>
                <c:formatCode>General</c:formatCode>
                <c:ptCount val="4"/>
                <c:pt idx="0">
                  <c:v>3.2825145829524878E-7</c:v>
                </c:pt>
                <c:pt idx="1">
                  <c:v>9.785164731545784E-7</c:v>
                </c:pt>
                <c:pt idx="2">
                  <c:v>1.2933347435185073E-6</c:v>
                </c:pt>
                <c:pt idx="3">
                  <c:v>2.2253137511479586E-6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D-4120-9CAD-EE42A4EA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528"/>
        <c:axId val="78128704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Auflösungsmessungen!$Y$79:$Y$82</c:f>
              <c:numCache>
                <c:formatCode>General</c:formatCode>
                <c:ptCount val="4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</c:numCache>
            </c:numRef>
          </c:xVal>
          <c:yVal>
            <c:numRef>
              <c:f>Auflösungsmessungen!$BF$79:$BF$82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D-4120-9CAD-EE42A4EA3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27528"/>
        <c:axId val="78128704"/>
      </c:scatterChart>
      <c:valAx>
        <c:axId val="78127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t/min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8704"/>
        <c:crosses val="autoZero"/>
        <c:crossBetween val="midCat"/>
      </c:valAx>
      <c:valAx>
        <c:axId val="781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wASD/-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Auflösungsmessungen!$BW$32:$BW$34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Auflösungsmessungen!$BX$32:$BX$34</c:f>
              <c:numCache>
                <c:formatCode>General</c:formatCode>
                <c:ptCount val="3"/>
                <c:pt idx="0">
                  <c:v>-9.5187567076881585</c:v>
                </c:pt>
                <c:pt idx="1">
                  <c:v>-10.181557717068735</c:v>
                </c:pt>
                <c:pt idx="2">
                  <c:v>-10.186597355786255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AF-41D6-A868-E6413C380ED2}"/>
            </c:ext>
          </c:extLst>
        </c:ser>
        <c:ser>
          <c:idx val="0"/>
          <c:order val="1"/>
          <c:spPr>
            <a:ln w="19050">
              <a:noFill/>
            </a:ln>
          </c:spPr>
          <c:xVal>
            <c:numRef>
              <c:f>Auflösungsmessungen!$BW$28:$BW$30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Auflösungsmessungen!$BX$28:$BX$30</c:f>
              <c:numCache>
                <c:formatCode>General</c:formatCode>
                <c:ptCount val="3"/>
                <c:pt idx="0">
                  <c:v>-9.9136954299267952</c:v>
                </c:pt>
                <c:pt idx="1">
                  <c:v>-10.516068902229959</c:v>
                </c:pt>
                <c:pt idx="2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AF-41D6-A868-E6413C380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31056"/>
        <c:axId val="78131448"/>
      </c:scatterChart>
      <c:valAx>
        <c:axId val="7813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31448"/>
        <c:crosses val="autoZero"/>
        <c:crossBetween val="midCat"/>
      </c:valAx>
      <c:valAx>
        <c:axId val="78131448"/>
        <c:scaling>
          <c:orientation val="minMax"/>
          <c:max val="-8"/>
          <c:min val="-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81310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Auflösungsmessungen!$BW$32:$BW$34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Auflösungsmessungen!$BY$32:$BY$34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8-4648-BAE3-6706C58EB0B3}"/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Auflösungsmessungen!$BW$28:$BW$30</c:f>
              <c:numCache>
                <c:formatCode>General</c:formatCode>
                <c:ptCount val="3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</c:numCache>
            </c:numRef>
          </c:xVal>
          <c:yVal>
            <c:numRef>
              <c:f>Auflösungsmessungen!$BY$28:$BY$30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F8-4648-BAE3-6706C58EB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2064"/>
        <c:axId val="360173240"/>
      </c:scatterChart>
      <c:valAx>
        <c:axId val="36017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Drugload/-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3240"/>
        <c:crosses val="autoZero"/>
        <c:crossBetween val="midCat"/>
      </c:valAx>
      <c:valAx>
        <c:axId val="360173240"/>
        <c:scaling>
          <c:orientation val="minMax"/>
          <c:max val="-8"/>
          <c:min val="-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log10(Dmw)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206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-9.4739720034995631E-2"/>
                  <c:y val="-6.2335958005249343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</c:trendlineLbl>
          </c:trendline>
          <c:xVal>
            <c:numRef>
              <c:f>Auflösungsmessungen!$B$238:$B$249</c:f>
              <c:numCache>
                <c:formatCode>General</c:formatCode>
                <c:ptCount val="12"/>
                <c:pt idx="0">
                  <c:v>5</c:v>
                </c:pt>
                <c:pt idx="1">
                  <c:v>15</c:v>
                </c:pt>
                <c:pt idx="2">
                  <c:v>30</c:v>
                </c:pt>
                <c:pt idx="3">
                  <c:v>60</c:v>
                </c:pt>
                <c:pt idx="4">
                  <c:v>90</c:v>
                </c:pt>
                <c:pt idx="5">
                  <c:v>120</c:v>
                </c:pt>
                <c:pt idx="6">
                  <c:v>150</c:v>
                </c:pt>
                <c:pt idx="7">
                  <c:v>180</c:v>
                </c:pt>
                <c:pt idx="8">
                  <c:v>210</c:v>
                </c:pt>
                <c:pt idx="9">
                  <c:v>240</c:v>
                </c:pt>
                <c:pt idx="10">
                  <c:v>270</c:v>
                </c:pt>
                <c:pt idx="11">
                  <c:v>300</c:v>
                </c:pt>
              </c:numCache>
            </c:numRef>
          </c:xVal>
          <c:yVal>
            <c:numRef>
              <c:f>Auflösungsmessungen!$C$238:$C$249</c:f>
              <c:numCache>
                <c:formatCode>General</c:formatCode>
                <c:ptCount val="12"/>
                <c:pt idx="0">
                  <c:v>7.2218971440753911E-3</c:v>
                </c:pt>
                <c:pt idx="1">
                  <c:v>1.322377016962805E-2</c:v>
                </c:pt>
                <c:pt idx="2">
                  <c:v>3.2983558760241935E-2</c:v>
                </c:pt>
                <c:pt idx="3">
                  <c:v>4.1891355666663424E-2</c:v>
                </c:pt>
                <c:pt idx="4">
                  <c:v>5.7432596395302876E-2</c:v>
                </c:pt>
                <c:pt idx="5">
                  <c:v>7.3362409187975153E-2</c:v>
                </c:pt>
                <c:pt idx="6">
                  <c:v>9.0651556975958891E-2</c:v>
                </c:pt>
                <c:pt idx="7">
                  <c:v>0.10467906046641692</c:v>
                </c:pt>
                <c:pt idx="8">
                  <c:v>0.12199859590327419</c:v>
                </c:pt>
                <c:pt idx="9">
                  <c:v>0.13643109728145297</c:v>
                </c:pt>
                <c:pt idx="10">
                  <c:v>0.14859674002929102</c:v>
                </c:pt>
                <c:pt idx="11">
                  <c:v>0.16239520661230211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E3-4957-98B2-1025E6ABF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2456"/>
        <c:axId val="360176768"/>
      </c:scatterChart>
      <c:valAx>
        <c:axId val="36017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6768"/>
        <c:crosses val="autoZero"/>
        <c:crossBetween val="midCat"/>
      </c:valAx>
      <c:valAx>
        <c:axId val="3601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64260717410319E-2"/>
          <c:y val="2.5428331875182269E-2"/>
          <c:w val="0.8585579615048119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Sorptionsmessungen!$A$4:$A$64</c:f>
              <c:numCache>
                <c:formatCode>General</c:formatCode>
                <c:ptCount val="61"/>
                <c:pt idx="0">
                  <c:v>600.08000000000004</c:v>
                </c:pt>
                <c:pt idx="1">
                  <c:v>616.77</c:v>
                </c:pt>
                <c:pt idx="2">
                  <c:v>633.45000000000005</c:v>
                </c:pt>
                <c:pt idx="3">
                  <c:v>650.13</c:v>
                </c:pt>
                <c:pt idx="4">
                  <c:v>666.81</c:v>
                </c:pt>
                <c:pt idx="5">
                  <c:v>683.49</c:v>
                </c:pt>
                <c:pt idx="6">
                  <c:v>700.17</c:v>
                </c:pt>
                <c:pt idx="7">
                  <c:v>716.86</c:v>
                </c:pt>
                <c:pt idx="8">
                  <c:v>733.54</c:v>
                </c:pt>
                <c:pt idx="9">
                  <c:v>750.22</c:v>
                </c:pt>
                <c:pt idx="10">
                  <c:v>766.9</c:v>
                </c:pt>
                <c:pt idx="11">
                  <c:v>783.58</c:v>
                </c:pt>
                <c:pt idx="12">
                  <c:v>800.26</c:v>
                </c:pt>
                <c:pt idx="13">
                  <c:v>816.94</c:v>
                </c:pt>
                <c:pt idx="14">
                  <c:v>833.62</c:v>
                </c:pt>
                <c:pt idx="15">
                  <c:v>850.3</c:v>
                </c:pt>
                <c:pt idx="16">
                  <c:v>866.99</c:v>
                </c:pt>
                <c:pt idx="17">
                  <c:v>883.67</c:v>
                </c:pt>
                <c:pt idx="18">
                  <c:v>900.35</c:v>
                </c:pt>
                <c:pt idx="19">
                  <c:v>917.03</c:v>
                </c:pt>
                <c:pt idx="20">
                  <c:v>933.72</c:v>
                </c:pt>
                <c:pt idx="21">
                  <c:v>950.4</c:v>
                </c:pt>
                <c:pt idx="22">
                  <c:v>967.08</c:v>
                </c:pt>
                <c:pt idx="23">
                  <c:v>983.77</c:v>
                </c:pt>
                <c:pt idx="24">
                  <c:v>1000.45</c:v>
                </c:pt>
                <c:pt idx="25">
                  <c:v>1017.13</c:v>
                </c:pt>
                <c:pt idx="26">
                  <c:v>1033.81</c:v>
                </c:pt>
                <c:pt idx="27">
                  <c:v>1050.49</c:v>
                </c:pt>
                <c:pt idx="28">
                  <c:v>1067.17</c:v>
                </c:pt>
                <c:pt idx="29">
                  <c:v>1083.8499999999999</c:v>
                </c:pt>
                <c:pt idx="30">
                  <c:v>1100.54</c:v>
                </c:pt>
                <c:pt idx="31">
                  <c:v>1117.22</c:v>
                </c:pt>
                <c:pt idx="32">
                  <c:v>1133.9000000000001</c:v>
                </c:pt>
                <c:pt idx="33">
                  <c:v>1150.58</c:v>
                </c:pt>
                <c:pt idx="34">
                  <c:v>1167.26</c:v>
                </c:pt>
                <c:pt idx="35">
                  <c:v>1183.94</c:v>
                </c:pt>
                <c:pt idx="36">
                  <c:v>1200.6300000000001</c:v>
                </c:pt>
                <c:pt idx="37">
                  <c:v>1217.31</c:v>
                </c:pt>
                <c:pt idx="38">
                  <c:v>1233.99</c:v>
                </c:pt>
                <c:pt idx="39">
                  <c:v>1250.67</c:v>
                </c:pt>
                <c:pt idx="40">
                  <c:v>1267.3499999999999</c:v>
                </c:pt>
                <c:pt idx="41">
                  <c:v>1284.03</c:v>
                </c:pt>
                <c:pt idx="42">
                  <c:v>1300.71</c:v>
                </c:pt>
                <c:pt idx="43">
                  <c:v>1317.39</c:v>
                </c:pt>
                <c:pt idx="44">
                  <c:v>1334.07</c:v>
                </c:pt>
                <c:pt idx="45">
                  <c:v>1350.75</c:v>
                </c:pt>
                <c:pt idx="46">
                  <c:v>1367.43</c:v>
                </c:pt>
                <c:pt idx="47">
                  <c:v>1384.12</c:v>
                </c:pt>
                <c:pt idx="48">
                  <c:v>1400.8</c:v>
                </c:pt>
                <c:pt idx="49">
                  <c:v>1417.48</c:v>
                </c:pt>
                <c:pt idx="50">
                  <c:v>1434.16</c:v>
                </c:pt>
                <c:pt idx="51">
                  <c:v>1450.84</c:v>
                </c:pt>
                <c:pt idx="52">
                  <c:v>1467.52</c:v>
                </c:pt>
                <c:pt idx="53">
                  <c:v>1484.21</c:v>
                </c:pt>
                <c:pt idx="54">
                  <c:v>1500.89</c:v>
                </c:pt>
                <c:pt idx="55">
                  <c:v>1517.57</c:v>
                </c:pt>
                <c:pt idx="56">
                  <c:v>1534.25</c:v>
                </c:pt>
                <c:pt idx="57">
                  <c:v>1550.93</c:v>
                </c:pt>
                <c:pt idx="58">
                  <c:v>1567.61</c:v>
                </c:pt>
                <c:pt idx="59">
                  <c:v>1584.29</c:v>
                </c:pt>
                <c:pt idx="60">
                  <c:v>1600.98</c:v>
                </c:pt>
              </c:numCache>
            </c:numRef>
          </c:xVal>
          <c:yVal>
            <c:numRef>
              <c:f>Sorptionsmessungen!$C$4:$C$64</c:f>
              <c:numCache>
                <c:formatCode>General</c:formatCode>
                <c:ptCount val="61"/>
                <c:pt idx="0">
                  <c:v>1.4104173424939237E-5</c:v>
                </c:pt>
                <c:pt idx="1">
                  <c:v>8.3546239486787018E-3</c:v>
                </c:pt>
                <c:pt idx="2">
                  <c:v>1.4430613969106275E-2</c:v>
                </c:pt>
                <c:pt idx="3">
                  <c:v>1.9467737399906981E-2</c:v>
                </c:pt>
                <c:pt idx="4">
                  <c:v>2.3895515059176635E-2</c:v>
                </c:pt>
                <c:pt idx="5">
                  <c:v>2.789711339829247E-2</c:v>
                </c:pt>
                <c:pt idx="6">
                  <c:v>3.1576583002734894E-2</c:v>
                </c:pt>
                <c:pt idx="7">
                  <c:v>3.5002155025746814E-2</c:v>
                </c:pt>
                <c:pt idx="8">
                  <c:v>3.8213709185126996E-2</c:v>
                </c:pt>
                <c:pt idx="9">
                  <c:v>4.1251286520272656E-2</c:v>
                </c:pt>
                <c:pt idx="10">
                  <c:v>4.4133728402755167E-2</c:v>
                </c:pt>
                <c:pt idx="11">
                  <c:v>4.6886435943778039E-2</c:v>
                </c:pt>
                <c:pt idx="12">
                  <c:v>4.951716186807649E-2</c:v>
                </c:pt>
                <c:pt idx="13">
                  <c:v>5.2044692505047237E-2</c:v>
                </c:pt>
                <c:pt idx="14">
                  <c:v>5.446915577920719E-2</c:v>
                </c:pt>
                <c:pt idx="15">
                  <c:v>5.681154707443082E-2</c:v>
                </c:pt>
                <c:pt idx="16">
                  <c:v>5.9064668106848697E-2</c:v>
                </c:pt>
                <c:pt idx="17">
                  <c:v>6.1244906065643666E-2</c:v>
                </c:pt>
                <c:pt idx="18">
                  <c:v>6.3362822505713581E-2</c:v>
                </c:pt>
                <c:pt idx="19">
                  <c:v>6.5412347805454574E-2</c:v>
                </c:pt>
                <c:pt idx="20">
                  <c:v>6.7403857536841347E-2</c:v>
                </c:pt>
                <c:pt idx="21">
                  <c:v>6.9342107566025574E-2</c:v>
                </c:pt>
                <c:pt idx="22">
                  <c:v>7.1227708591689601E-2</c:v>
                </c:pt>
                <c:pt idx="23">
                  <c:v>7.3063944206613399E-2</c:v>
                </c:pt>
                <c:pt idx="24">
                  <c:v>7.4852695555349416E-2</c:v>
                </c:pt>
                <c:pt idx="25">
                  <c:v>7.6593133708040773E-2</c:v>
                </c:pt>
                <c:pt idx="26">
                  <c:v>7.8292421515465907E-2</c:v>
                </c:pt>
                <c:pt idx="27">
                  <c:v>7.9957609706512153E-2</c:v>
                </c:pt>
                <c:pt idx="28">
                  <c:v>8.1578458761706996E-2</c:v>
                </c:pt>
                <c:pt idx="29">
                  <c:v>8.3165943946826248E-2</c:v>
                </c:pt>
                <c:pt idx="30">
                  <c:v>8.4720381431055022E-2</c:v>
                </c:pt>
                <c:pt idx="31">
                  <c:v>8.6242079261089136E-2</c:v>
                </c:pt>
                <c:pt idx="32">
                  <c:v>8.7739162881663474E-2</c:v>
                </c:pt>
                <c:pt idx="33">
                  <c:v>8.9210549228448191E-2</c:v>
                </c:pt>
                <c:pt idx="34">
                  <c:v>9.0644799958957231E-2</c:v>
                </c:pt>
                <c:pt idx="35">
                  <c:v>9.2053870616609343E-2</c:v>
                </c:pt>
                <c:pt idx="36">
                  <c:v>9.3436686192135757E-2</c:v>
                </c:pt>
                <c:pt idx="37">
                  <c:v>9.4792182386395141E-2</c:v>
                </c:pt>
                <c:pt idx="38">
                  <c:v>9.6123145961734296E-2</c:v>
                </c:pt>
                <c:pt idx="39">
                  <c:v>9.7429775340497238E-2</c:v>
                </c:pt>
                <c:pt idx="40">
                  <c:v>9.8712264490732282E-2</c:v>
                </c:pt>
                <c:pt idx="41">
                  <c:v>9.9973341946658564E-2</c:v>
                </c:pt>
                <c:pt idx="42">
                  <c:v>0.10121570400544261</c:v>
                </c:pt>
                <c:pt idx="43">
                  <c:v>0.10243570339445561</c:v>
                </c:pt>
                <c:pt idx="44">
                  <c:v>0.10363602649899703</c:v>
                </c:pt>
                <c:pt idx="45">
                  <c:v>0.10481179443078188</c:v>
                </c:pt>
                <c:pt idx="46">
                  <c:v>0.10597446121686109</c:v>
                </c:pt>
                <c:pt idx="47">
                  <c:v>0.10711662056024554</c:v>
                </c:pt>
                <c:pt idx="48">
                  <c:v>0.10824215676546671</c:v>
                </c:pt>
                <c:pt idx="49">
                  <c:v>0.10934621182513543</c:v>
                </c:pt>
                <c:pt idx="50">
                  <c:v>0.11043513537250617</c:v>
                </c:pt>
                <c:pt idx="51">
                  <c:v>0.11150531690479139</c:v>
                </c:pt>
                <c:pt idx="52">
                  <c:v>0.1125618188797224</c:v>
                </c:pt>
                <c:pt idx="53">
                  <c:v>0.11360349835597829</c:v>
                </c:pt>
                <c:pt idx="54">
                  <c:v>0.11463045082945295</c:v>
                </c:pt>
                <c:pt idx="55">
                  <c:v>0.11564767270232622</c:v>
                </c:pt>
                <c:pt idx="56">
                  <c:v>0.11664666281817546</c:v>
                </c:pt>
                <c:pt idx="57">
                  <c:v>0.11763119722000601</c:v>
                </c:pt>
                <c:pt idx="58">
                  <c:v>0.11860014752155505</c:v>
                </c:pt>
                <c:pt idx="59">
                  <c:v>0.11955968325673225</c:v>
                </c:pt>
                <c:pt idx="60">
                  <c:v>0.12050137348437755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73-4E46-91D2-1CBC1C5E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0104"/>
        <c:axId val="360174024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Sorptionsmessungen!$A$4:$A$64</c:f>
              <c:numCache>
                <c:formatCode>General</c:formatCode>
                <c:ptCount val="61"/>
                <c:pt idx="0">
                  <c:v>600.08000000000004</c:v>
                </c:pt>
                <c:pt idx="1">
                  <c:v>616.77</c:v>
                </c:pt>
                <c:pt idx="2">
                  <c:v>633.45000000000005</c:v>
                </c:pt>
                <c:pt idx="3">
                  <c:v>650.13</c:v>
                </c:pt>
                <c:pt idx="4">
                  <c:v>666.81</c:v>
                </c:pt>
                <c:pt idx="5">
                  <c:v>683.49</c:v>
                </c:pt>
                <c:pt idx="6">
                  <c:v>700.17</c:v>
                </c:pt>
                <c:pt idx="7">
                  <c:v>716.86</c:v>
                </c:pt>
                <c:pt idx="8">
                  <c:v>733.54</c:v>
                </c:pt>
                <c:pt idx="9">
                  <c:v>750.22</c:v>
                </c:pt>
                <c:pt idx="10">
                  <c:v>766.9</c:v>
                </c:pt>
                <c:pt idx="11">
                  <c:v>783.58</c:v>
                </c:pt>
                <c:pt idx="12">
                  <c:v>800.26</c:v>
                </c:pt>
                <c:pt idx="13">
                  <c:v>816.94</c:v>
                </c:pt>
                <c:pt idx="14">
                  <c:v>833.62</c:v>
                </c:pt>
                <c:pt idx="15">
                  <c:v>850.3</c:v>
                </c:pt>
                <c:pt idx="16">
                  <c:v>866.99</c:v>
                </c:pt>
                <c:pt idx="17">
                  <c:v>883.67</c:v>
                </c:pt>
                <c:pt idx="18">
                  <c:v>900.35</c:v>
                </c:pt>
                <c:pt idx="19">
                  <c:v>917.03</c:v>
                </c:pt>
                <c:pt idx="20">
                  <c:v>933.72</c:v>
                </c:pt>
                <c:pt idx="21">
                  <c:v>950.4</c:v>
                </c:pt>
                <c:pt idx="22">
                  <c:v>967.08</c:v>
                </c:pt>
                <c:pt idx="23">
                  <c:v>983.77</c:v>
                </c:pt>
                <c:pt idx="24">
                  <c:v>1000.45</c:v>
                </c:pt>
                <c:pt idx="25">
                  <c:v>1017.13</c:v>
                </c:pt>
                <c:pt idx="26">
                  <c:v>1033.81</c:v>
                </c:pt>
                <c:pt idx="27">
                  <c:v>1050.49</c:v>
                </c:pt>
                <c:pt idx="28">
                  <c:v>1067.17</c:v>
                </c:pt>
                <c:pt idx="29">
                  <c:v>1083.8499999999999</c:v>
                </c:pt>
                <c:pt idx="30">
                  <c:v>1100.54</c:v>
                </c:pt>
                <c:pt idx="31">
                  <c:v>1117.22</c:v>
                </c:pt>
                <c:pt idx="32">
                  <c:v>1133.9000000000001</c:v>
                </c:pt>
                <c:pt idx="33">
                  <c:v>1150.58</c:v>
                </c:pt>
                <c:pt idx="34">
                  <c:v>1167.26</c:v>
                </c:pt>
                <c:pt idx="35">
                  <c:v>1183.94</c:v>
                </c:pt>
                <c:pt idx="36">
                  <c:v>1200.6300000000001</c:v>
                </c:pt>
                <c:pt idx="37">
                  <c:v>1217.31</c:v>
                </c:pt>
                <c:pt idx="38">
                  <c:v>1233.99</c:v>
                </c:pt>
                <c:pt idx="39">
                  <c:v>1250.67</c:v>
                </c:pt>
                <c:pt idx="40">
                  <c:v>1267.3499999999999</c:v>
                </c:pt>
                <c:pt idx="41">
                  <c:v>1284.03</c:v>
                </c:pt>
                <c:pt idx="42">
                  <c:v>1300.71</c:v>
                </c:pt>
                <c:pt idx="43">
                  <c:v>1317.39</c:v>
                </c:pt>
                <c:pt idx="44">
                  <c:v>1334.07</c:v>
                </c:pt>
                <c:pt idx="45">
                  <c:v>1350.75</c:v>
                </c:pt>
                <c:pt idx="46">
                  <c:v>1367.43</c:v>
                </c:pt>
                <c:pt idx="47">
                  <c:v>1384.12</c:v>
                </c:pt>
                <c:pt idx="48">
                  <c:v>1400.8</c:v>
                </c:pt>
                <c:pt idx="49">
                  <c:v>1417.48</c:v>
                </c:pt>
                <c:pt idx="50">
                  <c:v>1434.16</c:v>
                </c:pt>
                <c:pt idx="51">
                  <c:v>1450.84</c:v>
                </c:pt>
                <c:pt idx="52">
                  <c:v>1467.52</c:v>
                </c:pt>
                <c:pt idx="53">
                  <c:v>1484.21</c:v>
                </c:pt>
                <c:pt idx="54">
                  <c:v>1500.89</c:v>
                </c:pt>
                <c:pt idx="55">
                  <c:v>1517.57</c:v>
                </c:pt>
                <c:pt idx="56">
                  <c:v>1534.25</c:v>
                </c:pt>
                <c:pt idx="57">
                  <c:v>1550.93</c:v>
                </c:pt>
                <c:pt idx="58">
                  <c:v>1567.61</c:v>
                </c:pt>
                <c:pt idx="59">
                  <c:v>1584.29</c:v>
                </c:pt>
                <c:pt idx="60">
                  <c:v>1600.98</c:v>
                </c:pt>
              </c:numCache>
            </c:numRef>
          </c:xVal>
          <c:yVal>
            <c:numRef>
              <c:f>Sorptionsmessungen!$D$4:$D$64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73-4E46-91D2-1CBC1C5EB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0104"/>
        <c:axId val="360174024"/>
      </c:scatterChart>
      <c:valAx>
        <c:axId val="36017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4024"/>
        <c:crosses val="autoZero"/>
        <c:crossBetween val="midCat"/>
      </c:valAx>
      <c:valAx>
        <c:axId val="36017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Sorptionsmessungen!$M$4:$M$64</c:f>
              <c:numCache>
                <c:formatCode>General</c:formatCode>
                <c:ptCount val="61"/>
                <c:pt idx="0">
                  <c:v>600.13</c:v>
                </c:pt>
                <c:pt idx="1">
                  <c:v>616.83000000000004</c:v>
                </c:pt>
                <c:pt idx="2">
                  <c:v>633.52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716.96</c:v>
                </c:pt>
                <c:pt idx="8">
                  <c:v>733.65</c:v>
                </c:pt>
                <c:pt idx="9">
                  <c:v>750.34</c:v>
                </c:pt>
                <c:pt idx="10">
                  <c:v>767.03</c:v>
                </c:pt>
                <c:pt idx="11">
                  <c:v>783.72</c:v>
                </c:pt>
                <c:pt idx="12">
                  <c:v>800.4</c:v>
                </c:pt>
                <c:pt idx="13">
                  <c:v>817.09</c:v>
                </c:pt>
                <c:pt idx="14">
                  <c:v>833.78</c:v>
                </c:pt>
                <c:pt idx="15">
                  <c:v>850.47</c:v>
                </c:pt>
                <c:pt idx="16">
                  <c:v>867.16</c:v>
                </c:pt>
                <c:pt idx="17">
                  <c:v>883.85</c:v>
                </c:pt>
                <c:pt idx="18">
                  <c:v>900.54</c:v>
                </c:pt>
                <c:pt idx="19">
                  <c:v>917.23</c:v>
                </c:pt>
                <c:pt idx="20">
                  <c:v>933.91</c:v>
                </c:pt>
                <c:pt idx="21">
                  <c:v>950.6</c:v>
                </c:pt>
                <c:pt idx="22">
                  <c:v>967.29</c:v>
                </c:pt>
                <c:pt idx="23">
                  <c:v>983.98</c:v>
                </c:pt>
                <c:pt idx="24">
                  <c:v>1000.67</c:v>
                </c:pt>
                <c:pt idx="25">
                  <c:v>1017.36</c:v>
                </c:pt>
                <c:pt idx="26">
                  <c:v>1034.05</c:v>
                </c:pt>
                <c:pt idx="27">
                  <c:v>1050.74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1134.18</c:v>
                </c:pt>
                <c:pt idx="33">
                  <c:v>1150.8699999999999</c:v>
                </c:pt>
                <c:pt idx="34">
                  <c:v>1167.56</c:v>
                </c:pt>
                <c:pt idx="35">
                  <c:v>1184.25</c:v>
                </c:pt>
                <c:pt idx="36">
                  <c:v>1200.94</c:v>
                </c:pt>
                <c:pt idx="37">
                  <c:v>1217.6300000000001</c:v>
                </c:pt>
                <c:pt idx="38">
                  <c:v>1234.31</c:v>
                </c:pt>
                <c:pt idx="39">
                  <c:v>1251</c:v>
                </c:pt>
                <c:pt idx="40">
                  <c:v>1267.69</c:v>
                </c:pt>
                <c:pt idx="41">
                  <c:v>1284.3800000000001</c:v>
                </c:pt>
                <c:pt idx="42">
                  <c:v>1301.07</c:v>
                </c:pt>
                <c:pt idx="43">
                  <c:v>1317.76</c:v>
                </c:pt>
                <c:pt idx="44">
                  <c:v>1334.45</c:v>
                </c:pt>
                <c:pt idx="45">
                  <c:v>1351.13</c:v>
                </c:pt>
                <c:pt idx="46">
                  <c:v>1367.82</c:v>
                </c:pt>
                <c:pt idx="47">
                  <c:v>1384.51</c:v>
                </c:pt>
                <c:pt idx="48">
                  <c:v>1401.2</c:v>
                </c:pt>
                <c:pt idx="49">
                  <c:v>1417.89</c:v>
                </c:pt>
                <c:pt idx="50">
                  <c:v>1434.58</c:v>
                </c:pt>
                <c:pt idx="51">
                  <c:v>1451.27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1551.4</c:v>
                </c:pt>
                <c:pt idx="58">
                  <c:v>1568.09</c:v>
                </c:pt>
              </c:numCache>
            </c:numRef>
          </c:xVal>
          <c:yVal>
            <c:numRef>
              <c:f>Sorptionsmessungen!$O$4:$O$64</c:f>
              <c:numCache>
                <c:formatCode>General</c:formatCode>
                <c:ptCount val="61"/>
                <c:pt idx="0">
                  <c:v>3.1230383416453926E-6</c:v>
                </c:pt>
                <c:pt idx="1">
                  <c:v>5.0972453746499615E-3</c:v>
                </c:pt>
                <c:pt idx="2">
                  <c:v>7.3964772184783338E-3</c:v>
                </c:pt>
                <c:pt idx="3">
                  <c:v>9.0016201987878977E-3</c:v>
                </c:pt>
                <c:pt idx="4">
                  <c:v>1.0294238101199116E-2</c:v>
                </c:pt>
                <c:pt idx="5">
                  <c:v>1.1400387474239167E-2</c:v>
                </c:pt>
                <c:pt idx="6">
                  <c:v>1.2383757691655402E-2</c:v>
                </c:pt>
                <c:pt idx="7">
                  <c:v>1.3270920613300503E-2</c:v>
                </c:pt>
                <c:pt idx="8">
                  <c:v>1.4082121847995762E-2</c:v>
                </c:pt>
                <c:pt idx="9">
                  <c:v>1.4835918799342993E-2</c:v>
                </c:pt>
                <c:pt idx="10">
                  <c:v>1.5537111822009599E-2</c:v>
                </c:pt>
                <c:pt idx="11">
                  <c:v>1.619952530551743E-2</c:v>
                </c:pt>
                <c:pt idx="12">
                  <c:v>1.682029489250125E-2</c:v>
                </c:pt>
                <c:pt idx="13">
                  <c:v>1.7417668070063636E-2</c:v>
                </c:pt>
                <c:pt idx="14">
                  <c:v>1.79811876845886E-2</c:v>
                </c:pt>
                <c:pt idx="15">
                  <c:v>1.8521498578511392E-2</c:v>
                </c:pt>
                <c:pt idx="16">
                  <c:v>1.9040178913346643E-2</c:v>
                </c:pt>
                <c:pt idx="17">
                  <c:v>1.954179960928663E-2</c:v>
                </c:pt>
                <c:pt idx="18">
                  <c:v>2.0020413690945326E-2</c:v>
                </c:pt>
                <c:pt idx="19">
                  <c:v>2.048507708097224E-2</c:v>
                </c:pt>
                <c:pt idx="20">
                  <c:v>2.0938822435850477E-2</c:v>
                </c:pt>
                <c:pt idx="21">
                  <c:v>2.1372706628809322E-2</c:v>
                </c:pt>
                <c:pt idx="22">
                  <c:v>2.1795747163833985E-2</c:v>
                </c:pt>
                <c:pt idx="23">
                  <c:v>2.2207971661742737E-2</c:v>
                </c:pt>
                <c:pt idx="24">
                  <c:v>2.2603440118435441E-2</c:v>
                </c:pt>
                <c:pt idx="25">
                  <c:v>2.2994117216296215E-2</c:v>
                </c:pt>
                <c:pt idx="26">
                  <c:v>2.3371077814632851E-2</c:v>
                </c:pt>
                <c:pt idx="27">
                  <c:v>2.3740306384561739E-2</c:v>
                </c:pt>
                <c:pt idx="28">
                  <c:v>2.410033297013944E-2</c:v>
                </c:pt>
                <c:pt idx="29">
                  <c:v>2.4446719313639634E-2</c:v>
                </c:pt>
                <c:pt idx="30">
                  <c:v>2.4792859851282482E-2</c:v>
                </c:pt>
                <c:pt idx="31">
                  <c:v>2.5132818803184759E-2</c:v>
                </c:pt>
                <c:pt idx="32">
                  <c:v>2.5462159809596978E-2</c:v>
                </c:pt>
                <c:pt idx="33">
                  <c:v>2.5782386194222854E-2</c:v>
                </c:pt>
                <c:pt idx="34">
                  <c:v>2.6099440052801112E-2</c:v>
                </c:pt>
                <c:pt idx="35">
                  <c:v>2.6407406844337816E-2</c:v>
                </c:pt>
                <c:pt idx="36">
                  <c:v>2.6706303611704011E-2</c:v>
                </c:pt>
                <c:pt idx="37">
                  <c:v>2.7005016910421863E-2</c:v>
                </c:pt>
                <c:pt idx="38">
                  <c:v>2.7300592064692864E-2</c:v>
                </c:pt>
                <c:pt idx="39">
                  <c:v>2.7585651877485677E-2</c:v>
                </c:pt>
                <c:pt idx="40">
                  <c:v>2.7867593258829582E-2</c:v>
                </c:pt>
                <c:pt idx="41">
                  <c:v>2.8143471761679674E-2</c:v>
                </c:pt>
                <c:pt idx="42">
                  <c:v>2.8417719694567658E-2</c:v>
                </c:pt>
                <c:pt idx="43">
                  <c:v>2.8687393260267553E-2</c:v>
                </c:pt>
                <c:pt idx="44">
                  <c:v>2.895249994692908E-2</c:v>
                </c:pt>
                <c:pt idx="45">
                  <c:v>2.9207160582536498E-2</c:v>
                </c:pt>
                <c:pt idx="46">
                  <c:v>2.946462941128344E-2</c:v>
                </c:pt>
                <c:pt idx="47">
                  <c:v>2.9714611249492505E-2</c:v>
                </c:pt>
                <c:pt idx="48">
                  <c:v>2.9961525644521314E-2</c:v>
                </c:pt>
                <c:pt idx="49">
                  <c:v>3.0203908562948186E-2</c:v>
                </c:pt>
                <c:pt idx="50">
                  <c:v>3.0446170383491688E-2</c:v>
                </c:pt>
                <c:pt idx="51">
                  <c:v>3.0682442547046926E-2</c:v>
                </c:pt>
                <c:pt idx="52">
                  <c:v>3.0912733721936925E-2</c:v>
                </c:pt>
                <c:pt idx="53">
                  <c:v>3.1135586553299746E-2</c:v>
                </c:pt>
                <c:pt idx="54">
                  <c:v>3.1358336913052155E-2</c:v>
                </c:pt>
                <c:pt idx="55">
                  <c:v>3.1572198077056871E-2</c:v>
                </c:pt>
                <c:pt idx="56">
                  <c:v>3.1780109461461759E-2</c:v>
                </c:pt>
                <c:pt idx="57">
                  <c:v>3.1987931592201577E-2</c:v>
                </c:pt>
                <c:pt idx="58">
                  <c:v>3.2186888882843878E-2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9-423D-A648-46E72546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592"/>
        <c:axId val="360172848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Sorptionsmessungen!$M$4:$M$64</c:f>
              <c:numCache>
                <c:formatCode>General</c:formatCode>
                <c:ptCount val="61"/>
                <c:pt idx="0">
                  <c:v>600.13</c:v>
                </c:pt>
                <c:pt idx="1">
                  <c:v>616.83000000000004</c:v>
                </c:pt>
                <c:pt idx="2">
                  <c:v>633.52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716.96</c:v>
                </c:pt>
                <c:pt idx="8">
                  <c:v>733.65</c:v>
                </c:pt>
                <c:pt idx="9">
                  <c:v>750.34</c:v>
                </c:pt>
                <c:pt idx="10">
                  <c:v>767.03</c:v>
                </c:pt>
                <c:pt idx="11">
                  <c:v>783.72</c:v>
                </c:pt>
                <c:pt idx="12">
                  <c:v>800.4</c:v>
                </c:pt>
                <c:pt idx="13">
                  <c:v>817.09</c:v>
                </c:pt>
                <c:pt idx="14">
                  <c:v>833.78</c:v>
                </c:pt>
                <c:pt idx="15">
                  <c:v>850.47</c:v>
                </c:pt>
                <c:pt idx="16">
                  <c:v>867.16</c:v>
                </c:pt>
                <c:pt idx="17">
                  <c:v>883.85</c:v>
                </c:pt>
                <c:pt idx="18">
                  <c:v>900.54</c:v>
                </c:pt>
                <c:pt idx="19">
                  <c:v>917.23</c:v>
                </c:pt>
                <c:pt idx="20">
                  <c:v>933.91</c:v>
                </c:pt>
                <c:pt idx="21">
                  <c:v>950.6</c:v>
                </c:pt>
                <c:pt idx="22">
                  <c:v>967.29</c:v>
                </c:pt>
                <c:pt idx="23">
                  <c:v>983.98</c:v>
                </c:pt>
                <c:pt idx="24">
                  <c:v>1000.67</c:v>
                </c:pt>
                <c:pt idx="25">
                  <c:v>1017.36</c:v>
                </c:pt>
                <c:pt idx="26">
                  <c:v>1034.05</c:v>
                </c:pt>
                <c:pt idx="27">
                  <c:v>1050.74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1134.18</c:v>
                </c:pt>
                <c:pt idx="33">
                  <c:v>1150.8699999999999</c:v>
                </c:pt>
                <c:pt idx="34">
                  <c:v>1167.56</c:v>
                </c:pt>
                <c:pt idx="35">
                  <c:v>1184.25</c:v>
                </c:pt>
                <c:pt idx="36">
                  <c:v>1200.94</c:v>
                </c:pt>
                <c:pt idx="37">
                  <c:v>1217.6300000000001</c:v>
                </c:pt>
                <c:pt idx="38">
                  <c:v>1234.31</c:v>
                </c:pt>
                <c:pt idx="39">
                  <c:v>1251</c:v>
                </c:pt>
                <c:pt idx="40">
                  <c:v>1267.69</c:v>
                </c:pt>
                <c:pt idx="41">
                  <c:v>1284.3800000000001</c:v>
                </c:pt>
                <c:pt idx="42">
                  <c:v>1301.07</c:v>
                </c:pt>
                <c:pt idx="43">
                  <c:v>1317.76</c:v>
                </c:pt>
                <c:pt idx="44">
                  <c:v>1334.45</c:v>
                </c:pt>
                <c:pt idx="45">
                  <c:v>1351.13</c:v>
                </c:pt>
                <c:pt idx="46">
                  <c:v>1367.82</c:v>
                </c:pt>
                <c:pt idx="47">
                  <c:v>1384.51</c:v>
                </c:pt>
                <c:pt idx="48">
                  <c:v>1401.2</c:v>
                </c:pt>
                <c:pt idx="49">
                  <c:v>1417.89</c:v>
                </c:pt>
                <c:pt idx="50">
                  <c:v>1434.58</c:v>
                </c:pt>
                <c:pt idx="51">
                  <c:v>1451.27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1551.4</c:v>
                </c:pt>
                <c:pt idx="58">
                  <c:v>1568.09</c:v>
                </c:pt>
              </c:numCache>
            </c:numRef>
          </c:xVal>
          <c:yVal>
            <c:numRef>
              <c:f>Sorptionsmessungen!$P$4:$P$64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9-423D-A648-46E725466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592"/>
        <c:axId val="360172848"/>
      </c:scatterChart>
      <c:valAx>
        <c:axId val="360175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2848"/>
        <c:crosses val="autoZero"/>
        <c:crossBetween val="midCat"/>
      </c:valAx>
      <c:valAx>
        <c:axId val="3601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5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Sorptionsmessungen!$Y$4:$Y$64</c:f>
              <c:numCache>
                <c:formatCode>General</c:formatCode>
                <c:ptCount val="61"/>
                <c:pt idx="0">
                  <c:v>600</c:v>
                </c:pt>
                <c:pt idx="1">
                  <c:v>620</c:v>
                </c:pt>
                <c:pt idx="2">
                  <c:v>640</c:v>
                </c:pt>
                <c:pt idx="3">
                  <c:v>660</c:v>
                </c:pt>
                <c:pt idx="4">
                  <c:v>680</c:v>
                </c:pt>
                <c:pt idx="5">
                  <c:v>700</c:v>
                </c:pt>
                <c:pt idx="6">
                  <c:v>720</c:v>
                </c:pt>
                <c:pt idx="7">
                  <c:v>740</c:v>
                </c:pt>
                <c:pt idx="8">
                  <c:v>760</c:v>
                </c:pt>
                <c:pt idx="9">
                  <c:v>780</c:v>
                </c:pt>
                <c:pt idx="10">
                  <c:v>800</c:v>
                </c:pt>
                <c:pt idx="11">
                  <c:v>820</c:v>
                </c:pt>
                <c:pt idx="12">
                  <c:v>840</c:v>
                </c:pt>
                <c:pt idx="13">
                  <c:v>860</c:v>
                </c:pt>
                <c:pt idx="14">
                  <c:v>880</c:v>
                </c:pt>
                <c:pt idx="15">
                  <c:v>900</c:v>
                </c:pt>
              </c:numCache>
            </c:numRef>
          </c:xVal>
          <c:yVal>
            <c:numRef>
              <c:f>Sorptionsmessungen!$AA$4:$AA$64</c:f>
              <c:numCache>
                <c:formatCode>General</c:formatCode>
                <c:ptCount val="61"/>
                <c:pt idx="0">
                  <c:v>0</c:v>
                </c:pt>
                <c:pt idx="1">
                  <c:v>1.8209999999999999E-3</c:v>
                </c:pt>
                <c:pt idx="2">
                  <c:v>2.594E-3</c:v>
                </c:pt>
                <c:pt idx="3">
                  <c:v>3.0839999999999999E-3</c:v>
                </c:pt>
                <c:pt idx="4">
                  <c:v>3.4589999999999998E-3</c:v>
                </c:pt>
                <c:pt idx="5">
                  <c:v>3.771E-3</c:v>
                </c:pt>
                <c:pt idx="6">
                  <c:v>4.0400000000000002E-3</c:v>
                </c:pt>
                <c:pt idx="7">
                  <c:v>4.2859999999999999E-3</c:v>
                </c:pt>
                <c:pt idx="8">
                  <c:v>4.509E-3</c:v>
                </c:pt>
                <c:pt idx="9">
                  <c:v>4.7140000000000003E-3</c:v>
                </c:pt>
                <c:pt idx="10">
                  <c:v>4.9100000000000003E-3</c:v>
                </c:pt>
                <c:pt idx="11">
                  <c:v>5.091E-3</c:v>
                </c:pt>
                <c:pt idx="12">
                  <c:v>5.2630000000000003E-3</c:v>
                </c:pt>
                <c:pt idx="13">
                  <c:v>5.424E-3</c:v>
                </c:pt>
                <c:pt idx="14">
                  <c:v>5.5789999999999998E-3</c:v>
                </c:pt>
                <c:pt idx="15">
                  <c:v>5.7270000000000003E-3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F-4BAC-BDF2-8C4F4DF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4416"/>
        <c:axId val="360170888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Sorptionsmessungen!$Y$4:$Y$64</c:f>
              <c:numCache>
                <c:formatCode>General</c:formatCode>
                <c:ptCount val="61"/>
                <c:pt idx="0">
                  <c:v>600</c:v>
                </c:pt>
                <c:pt idx="1">
                  <c:v>620</c:v>
                </c:pt>
                <c:pt idx="2">
                  <c:v>640</c:v>
                </c:pt>
                <c:pt idx="3">
                  <c:v>660</c:v>
                </c:pt>
                <c:pt idx="4">
                  <c:v>680</c:v>
                </c:pt>
                <c:pt idx="5">
                  <c:v>700</c:v>
                </c:pt>
                <c:pt idx="6">
                  <c:v>720</c:v>
                </c:pt>
                <c:pt idx="7">
                  <c:v>740</c:v>
                </c:pt>
                <c:pt idx="8">
                  <c:v>760</c:v>
                </c:pt>
                <c:pt idx="9">
                  <c:v>780</c:v>
                </c:pt>
                <c:pt idx="10">
                  <c:v>800</c:v>
                </c:pt>
                <c:pt idx="11">
                  <c:v>820</c:v>
                </c:pt>
                <c:pt idx="12">
                  <c:v>840</c:v>
                </c:pt>
                <c:pt idx="13">
                  <c:v>860</c:v>
                </c:pt>
                <c:pt idx="14">
                  <c:v>880</c:v>
                </c:pt>
                <c:pt idx="15">
                  <c:v>900</c:v>
                </c:pt>
              </c:numCache>
            </c:numRef>
          </c:xVal>
          <c:yVal>
            <c:numRef>
              <c:f>Sorptionsmessungen!$AB$4:$AB$64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1F-4BAC-BDF2-8C4F4DF5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4416"/>
        <c:axId val="360170888"/>
      </c:scatterChart>
      <c:valAx>
        <c:axId val="36017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0888"/>
        <c:crosses val="autoZero"/>
        <c:crossBetween val="midCat"/>
      </c:valAx>
      <c:valAx>
        <c:axId val="36017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Sorptionsmessungen!$AK$4:$AK$64</c:f>
              <c:numCache>
                <c:formatCode>General</c:formatCode>
                <c:ptCount val="61"/>
                <c:pt idx="0">
                  <c:v>600.12</c:v>
                </c:pt>
                <c:pt idx="1">
                  <c:v>616.80999999999995</c:v>
                </c:pt>
                <c:pt idx="2">
                  <c:v>633.5</c:v>
                </c:pt>
                <c:pt idx="3">
                  <c:v>650.19000000000005</c:v>
                </c:pt>
                <c:pt idx="4">
                  <c:v>666.88</c:v>
                </c:pt>
                <c:pt idx="5">
                  <c:v>683.57</c:v>
                </c:pt>
                <c:pt idx="6">
                  <c:v>700.26</c:v>
                </c:pt>
                <c:pt idx="7">
                  <c:v>716.95</c:v>
                </c:pt>
                <c:pt idx="8">
                  <c:v>733.64</c:v>
                </c:pt>
                <c:pt idx="9">
                  <c:v>750.32</c:v>
                </c:pt>
                <c:pt idx="10">
                  <c:v>767.01</c:v>
                </c:pt>
                <c:pt idx="11">
                  <c:v>783.7</c:v>
                </c:pt>
                <c:pt idx="12">
                  <c:v>800.39</c:v>
                </c:pt>
                <c:pt idx="13">
                  <c:v>817.08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917.21</c:v>
                </c:pt>
                <c:pt idx="20">
                  <c:v>933.9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1518.01</c:v>
                </c:pt>
              </c:numCache>
            </c:numRef>
          </c:xVal>
          <c:yVal>
            <c:numRef>
              <c:f>Sorptionsmessungen!$AM$4:$AM$64</c:f>
              <c:numCache>
                <c:formatCode>General</c:formatCode>
                <c:ptCount val="61"/>
                <c:pt idx="0">
                  <c:v>6.5659450695215157E-6</c:v>
                </c:pt>
                <c:pt idx="1">
                  <c:v>4.1282151355298398E-2</c:v>
                </c:pt>
                <c:pt idx="2">
                  <c:v>6.3996115860441363E-2</c:v>
                </c:pt>
                <c:pt idx="3">
                  <c:v>8.0991057312849529E-2</c:v>
                </c:pt>
                <c:pt idx="4">
                  <c:v>9.4928509454817761E-2</c:v>
                </c:pt>
                <c:pt idx="5">
                  <c:v>0.10690724853545709</c:v>
                </c:pt>
                <c:pt idx="6">
                  <c:v>0.11746469569046965</c:v>
                </c:pt>
                <c:pt idx="7">
                  <c:v>0.12690541570882338</c:v>
                </c:pt>
                <c:pt idx="8">
                  <c:v>0.13548431043095233</c:v>
                </c:pt>
                <c:pt idx="9">
                  <c:v>0.14327501828205003</c:v>
                </c:pt>
                <c:pt idx="10">
                  <c:v>0.15036289490273538</c:v>
                </c:pt>
                <c:pt idx="11">
                  <c:v>0.15676525629242483</c:v>
                </c:pt>
                <c:pt idx="12">
                  <c:v>0.16249656310145749</c:v>
                </c:pt>
                <c:pt idx="13">
                  <c:v>0.16760491020189547</c:v>
                </c:pt>
                <c:pt idx="14">
                  <c:v>0.17209813056170128</c:v>
                </c:pt>
                <c:pt idx="15">
                  <c:v>0.17606643403933026</c:v>
                </c:pt>
                <c:pt idx="16">
                  <c:v>0.17955071917254778</c:v>
                </c:pt>
                <c:pt idx="17">
                  <c:v>0.18263296302259427</c:v>
                </c:pt>
                <c:pt idx="18">
                  <c:v>0.18535238991826791</c:v>
                </c:pt>
                <c:pt idx="19">
                  <c:v>0.18775932503493228</c:v>
                </c:pt>
                <c:pt idx="20">
                  <c:v>0.1898806895854723</c:v>
                </c:pt>
                <c:pt idx="21">
                  <c:v>0.19182378256186017</c:v>
                </c:pt>
                <c:pt idx="22">
                  <c:v>0.19349286958732043</c:v>
                </c:pt>
                <c:pt idx="23">
                  <c:v>0.19498916433215285</c:v>
                </c:pt>
                <c:pt idx="24">
                  <c:v>0.19633999620068826</c:v>
                </c:pt>
                <c:pt idx="25">
                  <c:v>0.19755102901040081</c:v>
                </c:pt>
                <c:pt idx="26">
                  <c:v>0.19862350564068021</c:v>
                </c:pt>
                <c:pt idx="27">
                  <c:v>0.19957534923321119</c:v>
                </c:pt>
                <c:pt idx="28">
                  <c:v>0.20043259589033927</c:v>
                </c:pt>
                <c:pt idx="29">
                  <c:v>0.20122517268326456</c:v>
                </c:pt>
                <c:pt idx="30">
                  <c:v>0.20189072767861832</c:v>
                </c:pt>
                <c:pt idx="31">
                  <c:v>0.20245495153460666</c:v>
                </c:pt>
                <c:pt idx="32">
                  <c:v>0.20298918305082977</c:v>
                </c:pt>
                <c:pt idx="33">
                  <c:v>0.20346021485130908</c:v>
                </c:pt>
                <c:pt idx="34">
                  <c:v>0.20388491615439319</c:v>
                </c:pt>
                <c:pt idx="35">
                  <c:v>0.20425096137769627</c:v>
                </c:pt>
                <c:pt idx="36">
                  <c:v>0.20456682056531647</c:v>
                </c:pt>
                <c:pt idx="37">
                  <c:v>0.20482430950764902</c:v>
                </c:pt>
                <c:pt idx="38">
                  <c:v>0.20503598999900827</c:v>
                </c:pt>
                <c:pt idx="39">
                  <c:v>0.20521023050468909</c:v>
                </c:pt>
                <c:pt idx="40">
                  <c:v>0.20535122640967995</c:v>
                </c:pt>
                <c:pt idx="41">
                  <c:v>0.20546315811439667</c:v>
                </c:pt>
                <c:pt idx="42">
                  <c:v>0.20556262649446044</c:v>
                </c:pt>
                <c:pt idx="43">
                  <c:v>0.20564135463445429</c:v>
                </c:pt>
                <c:pt idx="44">
                  <c:v>0.20569935485889815</c:v>
                </c:pt>
                <c:pt idx="45">
                  <c:v>0.20572420950523365</c:v>
                </c:pt>
                <c:pt idx="46">
                  <c:v>0.20573249404169008</c:v>
                </c:pt>
                <c:pt idx="47">
                  <c:v>0.2057200671721966</c:v>
                </c:pt>
                <c:pt idx="48">
                  <c:v>0.20568692695240393</c:v>
                </c:pt>
                <c:pt idx="49">
                  <c:v>0.205624781585934</c:v>
                </c:pt>
                <c:pt idx="50">
                  <c:v>0.20554605016066452</c:v>
                </c:pt>
                <c:pt idx="51">
                  <c:v>0.20547144809740933</c:v>
                </c:pt>
                <c:pt idx="52">
                  <c:v>0.20538854048187988</c:v>
                </c:pt>
                <c:pt idx="53">
                  <c:v>0.20529732211809412</c:v>
                </c:pt>
                <c:pt idx="54">
                  <c:v>0.20520193506974727</c:v>
                </c:pt>
                <c:pt idx="55">
                  <c:v>0.20508992974727813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D-47EF-B8CD-A3174819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200"/>
        <c:axId val="360171672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Sorptionsmessungen!$AK$4:$AK$64</c:f>
              <c:numCache>
                <c:formatCode>General</c:formatCode>
                <c:ptCount val="61"/>
                <c:pt idx="0">
                  <c:v>600.12</c:v>
                </c:pt>
                <c:pt idx="1">
                  <c:v>616.80999999999995</c:v>
                </c:pt>
                <c:pt idx="2">
                  <c:v>633.5</c:v>
                </c:pt>
                <c:pt idx="3">
                  <c:v>650.19000000000005</c:v>
                </c:pt>
                <c:pt idx="4">
                  <c:v>666.88</c:v>
                </c:pt>
                <c:pt idx="5">
                  <c:v>683.57</c:v>
                </c:pt>
                <c:pt idx="6">
                  <c:v>700.26</c:v>
                </c:pt>
                <c:pt idx="7">
                  <c:v>716.95</c:v>
                </c:pt>
                <c:pt idx="8">
                  <c:v>733.64</c:v>
                </c:pt>
                <c:pt idx="9">
                  <c:v>750.32</c:v>
                </c:pt>
                <c:pt idx="10">
                  <c:v>767.01</c:v>
                </c:pt>
                <c:pt idx="11">
                  <c:v>783.7</c:v>
                </c:pt>
                <c:pt idx="12">
                  <c:v>800.39</c:v>
                </c:pt>
                <c:pt idx="13">
                  <c:v>817.08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917.21</c:v>
                </c:pt>
                <c:pt idx="20">
                  <c:v>933.9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1117.49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1518.01</c:v>
                </c:pt>
              </c:numCache>
            </c:numRef>
          </c:xVal>
          <c:yVal>
            <c:numRef>
              <c:f>Sorptionsmessungen!$AN$4:$AN$64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0D-47EF-B8CD-A3174819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5200"/>
        <c:axId val="360171672"/>
      </c:scatterChart>
      <c:valAx>
        <c:axId val="36017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1672"/>
        <c:crosses val="autoZero"/>
        <c:crossBetween val="midCat"/>
      </c:valAx>
      <c:valAx>
        <c:axId val="36017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Sorptionsmessungen!$AW$4:$AW$75</c:f>
              <c:numCache>
                <c:formatCode>General</c:formatCode>
                <c:ptCount val="72"/>
                <c:pt idx="0">
                  <c:v>600.13</c:v>
                </c:pt>
                <c:pt idx="1">
                  <c:v>616.82000000000005</c:v>
                </c:pt>
                <c:pt idx="2">
                  <c:v>633.51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716.95</c:v>
                </c:pt>
                <c:pt idx="8">
                  <c:v>733.64</c:v>
                </c:pt>
                <c:pt idx="9">
                  <c:v>750.33</c:v>
                </c:pt>
                <c:pt idx="10">
                  <c:v>767.02</c:v>
                </c:pt>
                <c:pt idx="11">
                  <c:v>783.71</c:v>
                </c:pt>
                <c:pt idx="12">
                  <c:v>800.4</c:v>
                </c:pt>
                <c:pt idx="13">
                  <c:v>817.09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917.22</c:v>
                </c:pt>
                <c:pt idx="20">
                  <c:v>933.91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1117.48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1551.39</c:v>
                </c:pt>
                <c:pt idx="58">
                  <c:v>1568.08</c:v>
                </c:pt>
                <c:pt idx="59">
                  <c:v>1584.77</c:v>
                </c:pt>
                <c:pt idx="60">
                  <c:v>1601.46</c:v>
                </c:pt>
                <c:pt idx="61">
                  <c:v>1618.15</c:v>
                </c:pt>
                <c:pt idx="62">
                  <c:v>1634.84</c:v>
                </c:pt>
                <c:pt idx="63">
                  <c:v>1651.53</c:v>
                </c:pt>
                <c:pt idx="64">
                  <c:v>1668.22</c:v>
                </c:pt>
                <c:pt idx="65">
                  <c:v>1684.9</c:v>
                </c:pt>
                <c:pt idx="66">
                  <c:v>1701.59</c:v>
                </c:pt>
                <c:pt idx="67">
                  <c:v>1718.28</c:v>
                </c:pt>
                <c:pt idx="68">
                  <c:v>1734.97</c:v>
                </c:pt>
                <c:pt idx="69">
                  <c:v>1751.66</c:v>
                </c:pt>
                <c:pt idx="70">
                  <c:v>1768.35</c:v>
                </c:pt>
                <c:pt idx="71">
                  <c:v>1785.04</c:v>
                </c:pt>
              </c:numCache>
            </c:numRef>
          </c:xVal>
          <c:yVal>
            <c:numRef>
              <c:f>Sorptionsmessungen!$AY$4:$AY$75</c:f>
              <c:numCache>
                <c:formatCode>General</c:formatCode>
                <c:ptCount val="72"/>
                <c:pt idx="0">
                  <c:v>1.1470959354540623E-4</c:v>
                </c:pt>
                <c:pt idx="1">
                  <c:v>2.4375077726650558E-2</c:v>
                </c:pt>
                <c:pt idx="2">
                  <c:v>3.352182429685447E-2</c:v>
                </c:pt>
                <c:pt idx="3">
                  <c:v>3.9015128315060446E-2</c:v>
                </c:pt>
                <c:pt idx="4">
                  <c:v>4.284328617704608E-2</c:v>
                </c:pt>
                <c:pt idx="5">
                  <c:v>4.5806169115500513E-2</c:v>
                </c:pt>
                <c:pt idx="6">
                  <c:v>4.825452670528619E-2</c:v>
                </c:pt>
                <c:pt idx="7">
                  <c:v>5.0483533242153579E-2</c:v>
                </c:pt>
                <c:pt idx="8">
                  <c:v>5.2501902242834721E-2</c:v>
                </c:pt>
                <c:pt idx="9">
                  <c:v>5.4352149857157937E-2</c:v>
                </c:pt>
                <c:pt idx="10">
                  <c:v>5.6058910587300663E-2</c:v>
                </c:pt>
                <c:pt idx="11">
                  <c:v>5.7725569328336487E-2</c:v>
                </c:pt>
                <c:pt idx="12">
                  <c:v>5.9126888942192111E-2</c:v>
                </c:pt>
                <c:pt idx="13">
                  <c:v>6.0563422447085381E-2</c:v>
                </c:pt>
                <c:pt idx="14">
                  <c:v>6.1939495396388433E-2</c:v>
                </c:pt>
                <c:pt idx="15">
                  <c:v>6.3143752798924965E-2</c:v>
                </c:pt>
                <c:pt idx="16">
                  <c:v>6.4294702440944262E-2</c:v>
                </c:pt>
                <c:pt idx="17">
                  <c:v>6.555971127045751E-2</c:v>
                </c:pt>
                <c:pt idx="18">
                  <c:v>6.6560373137879686E-2</c:v>
                </c:pt>
                <c:pt idx="19">
                  <c:v>6.7603223276046343E-2</c:v>
                </c:pt>
                <c:pt idx="20">
                  <c:v>6.8649274329979096E-2</c:v>
                </c:pt>
                <c:pt idx="21">
                  <c:v>6.9577129031683962E-2</c:v>
                </c:pt>
                <c:pt idx="22">
                  <c:v>7.0563704002084782E-2</c:v>
                </c:pt>
                <c:pt idx="23">
                  <c:v>7.1476760288321395E-2</c:v>
                </c:pt>
                <c:pt idx="24">
                  <c:v>7.227832832714412E-2</c:v>
                </c:pt>
                <c:pt idx="25">
                  <c:v>7.3209918839415161E-2</c:v>
                </c:pt>
                <c:pt idx="26">
                  <c:v>7.391558407063957E-2</c:v>
                </c:pt>
                <c:pt idx="27">
                  <c:v>7.4751144029815142E-2</c:v>
                </c:pt>
                <c:pt idx="28">
                  <c:v>7.5487151687279777E-2</c:v>
                </c:pt>
                <c:pt idx="29">
                  <c:v>7.6309003779538531E-2</c:v>
                </c:pt>
                <c:pt idx="30">
                  <c:v>7.6988240277197278E-2</c:v>
                </c:pt>
                <c:pt idx="31">
                  <c:v>7.7650212510801508E-2</c:v>
                </c:pt>
                <c:pt idx="32">
                  <c:v>7.8349134740774401E-2</c:v>
                </c:pt>
                <c:pt idx="33">
                  <c:v>7.9063215354815586E-2</c:v>
                </c:pt>
                <c:pt idx="34">
                  <c:v>7.9662836327801467E-2</c:v>
                </c:pt>
                <c:pt idx="35">
                  <c:v>8.0288633446074287E-2</c:v>
                </c:pt>
                <c:pt idx="36">
                  <c:v>8.0940498365725755E-2</c:v>
                </c:pt>
                <c:pt idx="37">
                  <c:v>8.142475762259363E-2</c:v>
                </c:pt>
                <c:pt idx="38">
                  <c:v>8.199982447415366E-2</c:v>
                </c:pt>
                <c:pt idx="39">
                  <c:v>8.2525889844631453E-2</c:v>
                </c:pt>
                <c:pt idx="40">
                  <c:v>8.3003120945400577E-2</c:v>
                </c:pt>
                <c:pt idx="41">
                  <c:v>8.3463794191181287E-2</c:v>
                </c:pt>
                <c:pt idx="42">
                  <c:v>8.4036311626141696E-2</c:v>
                </c:pt>
                <c:pt idx="43">
                  <c:v>8.4431840064422267E-2</c:v>
                </c:pt>
                <c:pt idx="44">
                  <c:v>8.4837703053457073E-2</c:v>
                </c:pt>
                <c:pt idx="45">
                  <c:v>8.5275204486756989E-2</c:v>
                </c:pt>
                <c:pt idx="46">
                  <c:v>8.5680320274120703E-2</c:v>
                </c:pt>
                <c:pt idx="47">
                  <c:v>8.6143630962781617E-2</c:v>
                </c:pt>
                <c:pt idx="48">
                  <c:v>8.6468201058508803E-2</c:v>
                </c:pt>
                <c:pt idx="49">
                  <c:v>8.6813800810168831E-2</c:v>
                </c:pt>
                <c:pt idx="50">
                  <c:v>8.7238795550797735E-2</c:v>
                </c:pt>
                <c:pt idx="51">
                  <c:v>8.7594424381988847E-2</c:v>
                </c:pt>
                <c:pt idx="52">
                  <c:v>8.7806608024278227E-2</c:v>
                </c:pt>
                <c:pt idx="53">
                  <c:v>8.8124698511591271E-2</c:v>
                </c:pt>
                <c:pt idx="54">
                  <c:v>8.8490228429344606E-2</c:v>
                </c:pt>
                <c:pt idx="55">
                  <c:v>8.8696702696737309E-2</c:v>
                </c:pt>
                <c:pt idx="56">
                  <c:v>8.8955986528858152E-2</c:v>
                </c:pt>
                <c:pt idx="57">
                  <c:v>8.920983583718381E-2</c:v>
                </c:pt>
                <c:pt idx="58">
                  <c:v>8.9458259582740771E-2</c:v>
                </c:pt>
                <c:pt idx="59">
                  <c:v>8.9748796194233094E-2</c:v>
                </c:pt>
                <c:pt idx="60">
                  <c:v>8.9912471505385255E-2</c:v>
                </c:pt>
                <c:pt idx="61">
                  <c:v>9.0118302018092886E-2</c:v>
                </c:pt>
                <c:pt idx="62">
                  <c:v>9.032403944828038E-2</c:v>
                </c:pt>
                <c:pt idx="63">
                  <c:v>9.0513868359272762E-2</c:v>
                </c:pt>
                <c:pt idx="64">
                  <c:v>9.0703618060746852E-2</c:v>
                </c:pt>
                <c:pt idx="65">
                  <c:v>9.0888021044580394E-2</c:v>
                </c:pt>
                <c:pt idx="66">
                  <c:v>9.1067083767813375E-2</c:v>
                </c:pt>
                <c:pt idx="67">
                  <c:v>9.1235548965548863E-2</c:v>
                </c:pt>
                <c:pt idx="68">
                  <c:v>9.1398690085300646E-2</c:v>
                </c:pt>
                <c:pt idx="69">
                  <c:v>9.1561772641476302E-2</c:v>
                </c:pt>
                <c:pt idx="70">
                  <c:v>9.1719538739405942E-2</c:v>
                </c:pt>
                <c:pt idx="71">
                  <c:v>9.1877250049196876E-2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7-4390-88EA-30EFCF93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6376"/>
        <c:axId val="360169320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Sorptionsmessungen!$AW$4:$AW$75</c:f>
              <c:numCache>
                <c:formatCode>General</c:formatCode>
                <c:ptCount val="72"/>
                <c:pt idx="0">
                  <c:v>600.13</c:v>
                </c:pt>
                <c:pt idx="1">
                  <c:v>616.82000000000005</c:v>
                </c:pt>
                <c:pt idx="2">
                  <c:v>633.51</c:v>
                </c:pt>
                <c:pt idx="3">
                  <c:v>650.20000000000005</c:v>
                </c:pt>
                <c:pt idx="4">
                  <c:v>666.89</c:v>
                </c:pt>
                <c:pt idx="5">
                  <c:v>683.58</c:v>
                </c:pt>
                <c:pt idx="6">
                  <c:v>700.27</c:v>
                </c:pt>
                <c:pt idx="7">
                  <c:v>716.95</c:v>
                </c:pt>
                <c:pt idx="8">
                  <c:v>733.64</c:v>
                </c:pt>
                <c:pt idx="9">
                  <c:v>750.33</c:v>
                </c:pt>
                <c:pt idx="10">
                  <c:v>767.02</c:v>
                </c:pt>
                <c:pt idx="11">
                  <c:v>783.71</c:v>
                </c:pt>
                <c:pt idx="12">
                  <c:v>800.4</c:v>
                </c:pt>
                <c:pt idx="13">
                  <c:v>817.09</c:v>
                </c:pt>
                <c:pt idx="14">
                  <c:v>833.77</c:v>
                </c:pt>
                <c:pt idx="15">
                  <c:v>850.46</c:v>
                </c:pt>
                <c:pt idx="16">
                  <c:v>867.15</c:v>
                </c:pt>
                <c:pt idx="17">
                  <c:v>883.84</c:v>
                </c:pt>
                <c:pt idx="18">
                  <c:v>900.53</c:v>
                </c:pt>
                <c:pt idx="19">
                  <c:v>917.22</c:v>
                </c:pt>
                <c:pt idx="20">
                  <c:v>933.91</c:v>
                </c:pt>
                <c:pt idx="21">
                  <c:v>950.59</c:v>
                </c:pt>
                <c:pt idx="22">
                  <c:v>967.28</c:v>
                </c:pt>
                <c:pt idx="23">
                  <c:v>983.97</c:v>
                </c:pt>
                <c:pt idx="24">
                  <c:v>1000.66</c:v>
                </c:pt>
                <c:pt idx="25">
                  <c:v>1017.35</c:v>
                </c:pt>
                <c:pt idx="26">
                  <c:v>1034.04</c:v>
                </c:pt>
                <c:pt idx="27">
                  <c:v>1050.73</c:v>
                </c:pt>
                <c:pt idx="28">
                  <c:v>1067.42</c:v>
                </c:pt>
                <c:pt idx="29">
                  <c:v>1084.1099999999999</c:v>
                </c:pt>
                <c:pt idx="30">
                  <c:v>1100.8</c:v>
                </c:pt>
                <c:pt idx="31">
                  <c:v>1117.48</c:v>
                </c:pt>
                <c:pt idx="32">
                  <c:v>1134.17</c:v>
                </c:pt>
                <c:pt idx="33">
                  <c:v>1150.8599999999999</c:v>
                </c:pt>
                <c:pt idx="34">
                  <c:v>1167.55</c:v>
                </c:pt>
                <c:pt idx="35">
                  <c:v>1184.24</c:v>
                </c:pt>
                <c:pt idx="36">
                  <c:v>1200.93</c:v>
                </c:pt>
                <c:pt idx="37">
                  <c:v>1217.6199999999999</c:v>
                </c:pt>
                <c:pt idx="38">
                  <c:v>1234.31</c:v>
                </c:pt>
                <c:pt idx="39">
                  <c:v>1250.99</c:v>
                </c:pt>
                <c:pt idx="40">
                  <c:v>1267.68</c:v>
                </c:pt>
                <c:pt idx="41">
                  <c:v>1284.3699999999999</c:v>
                </c:pt>
                <c:pt idx="42">
                  <c:v>1301.06</c:v>
                </c:pt>
                <c:pt idx="43">
                  <c:v>1317.75</c:v>
                </c:pt>
                <c:pt idx="44">
                  <c:v>1334.44</c:v>
                </c:pt>
                <c:pt idx="45">
                  <c:v>1351.13</c:v>
                </c:pt>
                <c:pt idx="46">
                  <c:v>1367.82</c:v>
                </c:pt>
                <c:pt idx="47">
                  <c:v>1384.5</c:v>
                </c:pt>
                <c:pt idx="48">
                  <c:v>1401.19</c:v>
                </c:pt>
                <c:pt idx="49">
                  <c:v>1417.88</c:v>
                </c:pt>
                <c:pt idx="50">
                  <c:v>1434.57</c:v>
                </c:pt>
                <c:pt idx="51">
                  <c:v>1451.26</c:v>
                </c:pt>
                <c:pt idx="52">
                  <c:v>1467.95</c:v>
                </c:pt>
                <c:pt idx="53">
                  <c:v>1484.64</c:v>
                </c:pt>
                <c:pt idx="54">
                  <c:v>1501.33</c:v>
                </c:pt>
                <c:pt idx="55">
                  <c:v>1518.02</c:v>
                </c:pt>
                <c:pt idx="56">
                  <c:v>1534.71</c:v>
                </c:pt>
                <c:pt idx="57">
                  <c:v>1551.39</c:v>
                </c:pt>
                <c:pt idx="58">
                  <c:v>1568.08</c:v>
                </c:pt>
                <c:pt idx="59">
                  <c:v>1584.77</c:v>
                </c:pt>
                <c:pt idx="60">
                  <c:v>1601.46</c:v>
                </c:pt>
                <c:pt idx="61">
                  <c:v>1618.15</c:v>
                </c:pt>
                <c:pt idx="62">
                  <c:v>1634.84</c:v>
                </c:pt>
                <c:pt idx="63">
                  <c:v>1651.53</c:v>
                </c:pt>
                <c:pt idx="64">
                  <c:v>1668.22</c:v>
                </c:pt>
                <c:pt idx="65">
                  <c:v>1684.9</c:v>
                </c:pt>
                <c:pt idx="66">
                  <c:v>1701.59</c:v>
                </c:pt>
                <c:pt idx="67">
                  <c:v>1718.28</c:v>
                </c:pt>
                <c:pt idx="68">
                  <c:v>1734.97</c:v>
                </c:pt>
                <c:pt idx="69">
                  <c:v>1751.66</c:v>
                </c:pt>
                <c:pt idx="70">
                  <c:v>1768.35</c:v>
                </c:pt>
                <c:pt idx="71">
                  <c:v>1785.04</c:v>
                </c:pt>
              </c:numCache>
            </c:numRef>
          </c:xVal>
          <c:yVal>
            <c:numRef>
              <c:f>Sorptionsmessungen!$AZ$4:$AZ$75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7-4390-88EA-30EFCF93F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176376"/>
        <c:axId val="360169320"/>
      </c:scatterChart>
      <c:valAx>
        <c:axId val="36017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69320"/>
        <c:crosses val="autoZero"/>
        <c:crossBetween val="midCat"/>
      </c:valAx>
      <c:valAx>
        <c:axId val="3601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6017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354424</xdr:colOff>
      <xdr:row>1</xdr:row>
      <xdr:rowOff>190420</xdr:rowOff>
    </xdr:from>
    <xdr:to>
      <xdr:col>70</xdr:col>
      <xdr:colOff>537641</xdr:colOff>
      <xdr:row>15</xdr:row>
      <xdr:rowOff>28015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79897</xdr:colOff>
      <xdr:row>5</xdr:row>
      <xdr:rowOff>104267</xdr:rowOff>
    </xdr:from>
    <xdr:to>
      <xdr:col>86</xdr:col>
      <xdr:colOff>330393</xdr:colOff>
      <xdr:row>19</xdr:row>
      <xdr:rowOff>139645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87</xdr:col>
      <xdr:colOff>169289</xdr:colOff>
      <xdr:row>5</xdr:row>
      <xdr:rowOff>16811</xdr:rowOff>
    </xdr:from>
    <xdr:to>
      <xdr:col>95</xdr:col>
      <xdr:colOff>52391</xdr:colOff>
      <xdr:row>19</xdr:row>
      <xdr:rowOff>93010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625928</xdr:colOff>
      <xdr:row>17</xdr:row>
      <xdr:rowOff>81644</xdr:rowOff>
    </xdr:from>
    <xdr:to>
      <xdr:col>71</xdr:col>
      <xdr:colOff>224037</xdr:colOff>
      <xdr:row>30</xdr:row>
      <xdr:rowOff>109738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761999</xdr:colOff>
      <xdr:row>34</xdr:row>
      <xdr:rowOff>13607</xdr:rowOff>
    </xdr:from>
    <xdr:to>
      <xdr:col>71</xdr:col>
      <xdr:colOff>360108</xdr:colOff>
      <xdr:row>47</xdr:row>
      <xdr:rowOff>82523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653142</xdr:colOff>
      <xdr:row>48</xdr:row>
      <xdr:rowOff>149679</xdr:rowOff>
    </xdr:from>
    <xdr:to>
      <xdr:col>71</xdr:col>
      <xdr:colOff>251251</xdr:colOff>
      <xdr:row>62</xdr:row>
      <xdr:rowOff>28095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557893</xdr:colOff>
      <xdr:row>63</xdr:row>
      <xdr:rowOff>108857</xdr:rowOff>
    </xdr:from>
    <xdr:to>
      <xdr:col>71</xdr:col>
      <xdr:colOff>156002</xdr:colOff>
      <xdr:row>76</xdr:row>
      <xdr:rowOff>177773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775607</xdr:colOff>
      <xdr:row>77</xdr:row>
      <xdr:rowOff>163286</xdr:rowOff>
    </xdr:from>
    <xdr:to>
      <xdr:col>71</xdr:col>
      <xdr:colOff>373716</xdr:colOff>
      <xdr:row>93</xdr:row>
      <xdr:rowOff>880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79</xdr:col>
      <xdr:colOff>163286</xdr:colOff>
      <xdr:row>25</xdr:row>
      <xdr:rowOff>108857</xdr:rowOff>
    </xdr:from>
    <xdr:to>
      <xdr:col>86</xdr:col>
      <xdr:colOff>413782</xdr:colOff>
      <xdr:row>39</xdr:row>
      <xdr:rowOff>144236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89</xdr:col>
      <xdr:colOff>0</xdr:colOff>
      <xdr:row>27</xdr:row>
      <xdr:rowOff>0</xdr:rowOff>
    </xdr:from>
    <xdr:to>
      <xdr:col>96</xdr:col>
      <xdr:colOff>468209</xdr:colOff>
      <xdr:row>41</xdr:row>
      <xdr:rowOff>76200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367393</xdr:colOff>
      <xdr:row>234</xdr:row>
      <xdr:rowOff>136525</xdr:rowOff>
    </xdr:from>
    <xdr:to>
      <xdr:col>13</xdr:col>
      <xdr:colOff>312964</xdr:colOff>
      <xdr:row>248</xdr:row>
      <xdr:rowOff>180975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14</xdr:row>
      <xdr:rowOff>23812</xdr:rowOff>
    </xdr:from>
    <xdr:to>
      <xdr:col>11</xdr:col>
      <xdr:colOff>676275</xdr:colOff>
      <xdr:row>28</xdr:row>
      <xdr:rowOff>100012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391647</xdr:colOff>
      <xdr:row>14</xdr:row>
      <xdr:rowOff>150158</xdr:rowOff>
    </xdr:from>
    <xdr:to>
      <xdr:col>24</xdr:col>
      <xdr:colOff>391647</xdr:colOff>
      <xdr:row>29</xdr:row>
      <xdr:rowOff>35858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168088</xdr:colOff>
      <xdr:row>24</xdr:row>
      <xdr:rowOff>11207</xdr:rowOff>
    </xdr:from>
    <xdr:to>
      <xdr:col>36</xdr:col>
      <xdr:colOff>168088</xdr:colOff>
      <xdr:row>38</xdr:row>
      <xdr:rowOff>87407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448236</xdr:colOff>
      <xdr:row>19</xdr:row>
      <xdr:rowOff>179295</xdr:rowOff>
    </xdr:from>
    <xdr:to>
      <xdr:col>48</xdr:col>
      <xdr:colOff>448236</xdr:colOff>
      <xdr:row>34</xdr:row>
      <xdr:rowOff>64995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59</xdr:col>
      <xdr:colOff>437030</xdr:colOff>
      <xdr:row>19</xdr:row>
      <xdr:rowOff>89647</xdr:rowOff>
    </xdr:from>
    <xdr:to>
      <xdr:col>65</xdr:col>
      <xdr:colOff>437030</xdr:colOff>
      <xdr:row>33</xdr:row>
      <xdr:rowOff>165847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249"/>
  <sheetViews>
    <sheetView tabSelected="1" topLeftCell="BM1" zoomScale="84" zoomScaleNormal="84" workbookViewId="0">
      <selection activeCell="BC8" sqref="BC8"/>
    </sheetView>
  </sheetViews>
  <sheetFormatPr baseColWidth="10" defaultColWidth="8.7109375" defaultRowHeight="15" x14ac:dyDescent="0.25"/>
  <cols>
    <col min="4" max="5" width="15" bestFit="1" customWidth="1"/>
    <col min="18" max="18" width="9" bestFit="1" customWidth="1"/>
    <col min="20" max="20" width="32.85546875" customWidth="1"/>
    <col min="21" max="21" width="26.140625" customWidth="1"/>
    <col min="22" max="22" width="21.85546875" customWidth="1"/>
    <col min="23" max="23" width="12.42578125" bestFit="1" customWidth="1"/>
    <col min="24" max="24" width="9" customWidth="1"/>
    <col min="25" max="25" width="12" bestFit="1" customWidth="1"/>
    <col min="26" max="26" width="12.7109375" bestFit="1" customWidth="1"/>
    <col min="27" max="28" width="12" bestFit="1" customWidth="1"/>
    <col min="29" max="29" width="10.85546875" customWidth="1"/>
    <col min="30" max="30" width="9.5703125" customWidth="1"/>
    <col min="32" max="32" width="11.28515625" customWidth="1"/>
    <col min="33" max="33" width="12" bestFit="1" customWidth="1"/>
    <col min="34" max="34" width="12.85546875" bestFit="1" customWidth="1"/>
    <col min="35" max="35" width="12" bestFit="1" customWidth="1"/>
    <col min="36" max="37" width="12" customWidth="1"/>
    <col min="38" max="38" width="23" customWidth="1"/>
    <col min="39" max="39" width="22" customWidth="1"/>
    <col min="40" max="41" width="16.140625" customWidth="1"/>
    <col min="42" max="42" width="20.85546875" customWidth="1"/>
    <col min="43" max="43" width="19.42578125" customWidth="1"/>
    <col min="44" max="45" width="16.140625" customWidth="1"/>
    <col min="46" max="46" width="20.7109375" customWidth="1"/>
    <col min="47" max="47" width="19.140625" customWidth="1"/>
    <col min="48" max="48" width="16.7109375" customWidth="1"/>
    <col min="49" max="49" width="16.140625" customWidth="1"/>
    <col min="50" max="50" width="17.28515625" customWidth="1"/>
    <col min="51" max="51" width="16.140625" customWidth="1"/>
    <col min="52" max="52" width="17.140625" customWidth="1"/>
    <col min="53" max="53" width="16.140625" customWidth="1"/>
    <col min="54" max="54" width="12.28515625" customWidth="1"/>
    <col min="55" max="55" width="12" bestFit="1" customWidth="1"/>
    <col min="56" max="56" width="13" customWidth="1"/>
    <col min="57" max="58" width="12.85546875" bestFit="1" customWidth="1"/>
    <col min="59" max="59" width="11.85546875" bestFit="1" customWidth="1"/>
    <col min="60" max="60" width="13.7109375" customWidth="1"/>
    <col min="61" max="61" width="16.140625" customWidth="1"/>
    <col min="62" max="62" width="15.7109375" bestFit="1" customWidth="1"/>
    <col min="63" max="63" width="19.85546875" customWidth="1"/>
    <col min="64" max="64" width="12.140625" customWidth="1"/>
    <col min="65" max="65" width="10" customWidth="1"/>
    <col min="66" max="66" width="9.42578125" customWidth="1"/>
    <col min="75" max="75" width="8.7109375" customWidth="1"/>
    <col min="76" max="76" width="10.7109375" bestFit="1" customWidth="1"/>
    <col min="81" max="81" width="12" bestFit="1" customWidth="1"/>
  </cols>
  <sheetData>
    <row r="2" spans="1:77" x14ac:dyDescent="0.25">
      <c r="A2" s="16" t="s">
        <v>3</v>
      </c>
      <c r="B2" s="16"/>
      <c r="C2" s="16"/>
      <c r="D2" s="16"/>
      <c r="F2" s="14" t="s">
        <v>4</v>
      </c>
      <c r="G2" s="14"/>
      <c r="H2" s="14"/>
      <c r="J2" s="14" t="s">
        <v>5</v>
      </c>
      <c r="K2" s="14"/>
      <c r="L2" s="14"/>
      <c r="N2" s="18" t="s">
        <v>15</v>
      </c>
      <c r="O2" s="18"/>
      <c r="P2" s="18"/>
      <c r="T2" s="17" t="s">
        <v>27</v>
      </c>
      <c r="U2" s="17"/>
      <c r="V2" s="17"/>
      <c r="W2" s="17"/>
      <c r="X2" s="4"/>
      <c r="AI2" s="15" t="s">
        <v>53</v>
      </c>
      <c r="AJ2" s="15"/>
      <c r="AK2" s="13"/>
      <c r="AL2" s="12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</row>
    <row r="3" spans="1:77" ht="18" x14ac:dyDescent="0.35">
      <c r="A3" t="s">
        <v>0</v>
      </c>
      <c r="C3" t="s">
        <v>1</v>
      </c>
      <c r="D3" t="s">
        <v>2</v>
      </c>
      <c r="F3" t="s">
        <v>0</v>
      </c>
      <c r="G3" t="s">
        <v>1</v>
      </c>
      <c r="H3" t="s">
        <v>2</v>
      </c>
      <c r="J3" t="s">
        <v>0</v>
      </c>
      <c r="K3" t="s">
        <v>1</v>
      </c>
      <c r="L3" t="s">
        <v>2</v>
      </c>
      <c r="N3" t="s">
        <v>0</v>
      </c>
      <c r="O3" t="s">
        <v>1</v>
      </c>
      <c r="P3" t="s">
        <v>2</v>
      </c>
      <c r="Q3" t="s">
        <v>16</v>
      </c>
      <c r="R3" t="s">
        <v>17</v>
      </c>
      <c r="Y3" t="s">
        <v>0</v>
      </c>
      <c r="Z3" s="5" t="s">
        <v>47</v>
      </c>
      <c r="AA3" s="5" t="s">
        <v>48</v>
      </c>
      <c r="AB3" s="3"/>
      <c r="AC3" s="5" t="s">
        <v>49</v>
      </c>
      <c r="AD3" s="5" t="s">
        <v>50</v>
      </c>
      <c r="AF3" s="5" t="s">
        <v>51</v>
      </c>
      <c r="AG3" s="5" t="s">
        <v>52</v>
      </c>
      <c r="AH3" s="5" t="s">
        <v>81</v>
      </c>
      <c r="AI3" s="5" t="s">
        <v>32</v>
      </c>
      <c r="AJ3" s="5" t="s">
        <v>33</v>
      </c>
      <c r="AK3" s="5" t="s">
        <v>107</v>
      </c>
      <c r="AL3" s="5" t="s">
        <v>147</v>
      </c>
      <c r="AM3" s="5" t="s">
        <v>148</v>
      </c>
      <c r="AN3" s="5" t="s">
        <v>149</v>
      </c>
      <c r="AO3" s="5" t="s">
        <v>150</v>
      </c>
      <c r="AP3" s="5" t="s">
        <v>151</v>
      </c>
      <c r="AQ3" s="5" t="s">
        <v>152</v>
      </c>
      <c r="AR3" s="5" t="s">
        <v>153</v>
      </c>
      <c r="AS3" s="5" t="s">
        <v>154</v>
      </c>
      <c r="AT3" s="5" t="s">
        <v>155</v>
      </c>
      <c r="AU3" s="5" t="s">
        <v>156</v>
      </c>
      <c r="AV3" s="5" t="s">
        <v>157</v>
      </c>
      <c r="AW3" s="5" t="s">
        <v>158</v>
      </c>
      <c r="AX3" s="5" t="s">
        <v>161</v>
      </c>
      <c r="AY3" s="5" t="s">
        <v>162</v>
      </c>
      <c r="AZ3" s="5" t="s">
        <v>159</v>
      </c>
      <c r="BA3" s="5" t="s">
        <v>160</v>
      </c>
      <c r="BB3" s="5" t="s">
        <v>54</v>
      </c>
      <c r="BC3" s="5" t="s">
        <v>55</v>
      </c>
      <c r="BD3" s="5" t="s">
        <v>68</v>
      </c>
      <c r="BE3" s="5" t="s">
        <v>76</v>
      </c>
      <c r="BF3" s="5" t="s">
        <v>77</v>
      </c>
      <c r="BG3" s="5" t="s">
        <v>78</v>
      </c>
      <c r="BH3" s="5" t="s">
        <v>111</v>
      </c>
      <c r="BI3" s="5" t="s">
        <v>122</v>
      </c>
      <c r="BJ3" s="5" t="s">
        <v>85</v>
      </c>
      <c r="BK3" s="5" t="s">
        <v>124</v>
      </c>
    </row>
    <row r="4" spans="1:77" x14ac:dyDescent="0.25">
      <c r="A4">
        <v>5</v>
      </c>
      <c r="B4">
        <f>A4*60</f>
        <v>300</v>
      </c>
      <c r="C4">
        <v>1.5299999999999999E-2</v>
      </c>
      <c r="D4">
        <v>2.2000000000000001E-3</v>
      </c>
      <c r="F4">
        <v>5</v>
      </c>
      <c r="G4">
        <v>3.4099999999999998E-2</v>
      </c>
      <c r="H4">
        <v>3.3E-3</v>
      </c>
      <c r="J4">
        <v>5</v>
      </c>
      <c r="K4">
        <v>1.8800000000000001E-2</v>
      </c>
      <c r="L4">
        <v>3.0999999999999999E-3</v>
      </c>
      <c r="N4">
        <v>5</v>
      </c>
      <c r="O4">
        <f>(C4+G4+K4)/3</f>
        <v>2.2733333333333331E-2</v>
      </c>
      <c r="P4">
        <f>(D4+H4+L4)/3</f>
        <v>2.8666666666666667E-3</v>
      </c>
      <c r="Q4">
        <f>_xlfn.STDEV.P(C4,G4,K4)</f>
        <v>8.1634687616369463E-3</v>
      </c>
      <c r="R4">
        <f t="shared" ref="R4:R15" si="0">_xlfn.STDEV.P(D4,H4,L4)</f>
        <v>4.7842333648024407E-4</v>
      </c>
      <c r="T4" s="2" t="s">
        <v>28</v>
      </c>
      <c r="U4">
        <v>3849.3</v>
      </c>
      <c r="Y4">
        <v>5</v>
      </c>
      <c r="Z4">
        <f>((C4*$U$7)-(D4*$U$6))/(($U$7*$U$4)-($U$6*$U$5))</f>
        <v>3.3773091932753315E-6</v>
      </c>
      <c r="AA4">
        <f>((D4*$U$4)-(C4*$U$5))/(($U$7*$U$4)-($U$6*$U$5))</f>
        <v>2.7740937543127466E-7</v>
      </c>
      <c r="AC4">
        <f>((G4*$U$7)-(H4*$U$6))/(($U$7*$U$4)-($U$6*$U$5))</f>
        <v>8.1274264277131379E-6</v>
      </c>
      <c r="AD4">
        <f>((H4*$U$4)-(G4*$U$5))/(($U$7*$U$4)-($U$6*$U$5))</f>
        <v>3.3957749720190846E-7</v>
      </c>
      <c r="AF4">
        <f>((K4*$U$7)-(L4*$U$6))/(($U$7*$U$4)-($U$6*$U$5))</f>
        <v>4.0013703242607005E-6</v>
      </c>
      <c r="AG4">
        <f>((L4*$U$4)-(K4*$U$5))/(($U$7*$U$4)-($U$6*$U$5))</f>
        <v>4.0983416294611412E-7</v>
      </c>
      <c r="AH4">
        <f>AI4+AJ4</f>
        <v>5.5109756602761552E-6</v>
      </c>
      <c r="AI4">
        <f>(Z4+AC4+AF4)/3</f>
        <v>5.1687019817497229E-6</v>
      </c>
      <c r="AJ4">
        <f>(AA4+AD4+AG4)/3</f>
        <v>3.4227367852643241E-7</v>
      </c>
      <c r="AK4">
        <f>1-AI4-AJ4</f>
        <v>0.99999448902433974</v>
      </c>
      <c r="AL4">
        <f>Z4*500000</f>
        <v>1.6886545966376658</v>
      </c>
      <c r="AM4">
        <f>AA4*500000</f>
        <v>0.13870468771563732</v>
      </c>
      <c r="AN4">
        <f>AL4/$U$20</f>
        <v>3.8827679212657007E-2</v>
      </c>
      <c r="AO4">
        <f>AM4/$V$20</f>
        <v>7.4416378408518336E-3</v>
      </c>
      <c r="AP4">
        <f>AC4*500000</f>
        <v>4.0637132138565688</v>
      </c>
      <c r="AQ4">
        <f>AD4*500000</f>
        <v>0.16978874860095422</v>
      </c>
      <c r="AR4">
        <f>AP4/$U$20</f>
        <v>9.3438026576914052E-2</v>
      </c>
      <c r="AS4">
        <f>AQ4/$V$20</f>
        <v>9.1093271420652523E-3</v>
      </c>
      <c r="AT4">
        <f>AF4*500000</f>
        <v>2.0006851621303503</v>
      </c>
      <c r="AU4">
        <f>AG4*500000</f>
        <v>0.20491708147305707</v>
      </c>
      <c r="AV4">
        <f>AT4/$U$20</f>
        <v>4.6002280060940204E-2</v>
      </c>
      <c r="AW4">
        <f>AU4/$V$20</f>
        <v>1.0993995465049471E-2</v>
      </c>
      <c r="AX4">
        <f>(AN4+AR4+AV4)/3</f>
        <v>5.9422661950170423E-2</v>
      </c>
      <c r="AY4">
        <f>(AO4+AS4+AW4)/3</f>
        <v>9.1816534826555194E-3</v>
      </c>
      <c r="AZ4">
        <f>_xlfn.STDEV.P(AN4,AR4,AV4)</f>
        <v>2.4230180868093525E-2</v>
      </c>
      <c r="BA4">
        <f>_xlfn.STDEV.P(AO4,AS4,AW4)</f>
        <v>1.4511454090260687E-3</v>
      </c>
      <c r="BB4">
        <f t="shared" ref="BB4:BB15" si="1">_xlfn.STDEV.P(Z4,AC4,AF4)</f>
        <v>2.1075895922685106E-6</v>
      </c>
      <c r="BC4">
        <f t="shared" ref="BC4:BC15" si="2">_xlfn.STDEV.P(AA4,AD4,AG4)</f>
        <v>5.4095798557673772E-8</v>
      </c>
      <c r="BD4" t="str">
        <f t="array" ref="BD4:BD15">Diffusion1D_xl(B4:B15,BK9,BK14,BK7,BK8)</f>
        <v>Local funcId 1690017899200 not found</v>
      </c>
      <c r="BE4" t="e">
        <f t="shared" ref="BE4:BE15" si="3">BD4/(1-BD4)*($BK$11)</f>
        <v>#VALUE!</v>
      </c>
      <c r="BF4" t="e">
        <f t="shared" ref="BF4:BF15" si="4">BE4/$BK$15</f>
        <v>#VALUE!</v>
      </c>
      <c r="BG4" t="e">
        <f t="shared" ref="BG4:BG15" si="5">(1-BF4/AH4)^2</f>
        <v>#VALUE!</v>
      </c>
      <c r="BH4" t="str">
        <f>ev_THFaktor($U$15,BD4)</f>
        <v>Local funcId 1690017901696 not found</v>
      </c>
      <c r="BI4" t="e">
        <f>AVERAGE(BH4:BH15)</f>
        <v>#DIV/0!</v>
      </c>
      <c r="BJ4" s="7">
        <f>BK14</f>
        <v>4.7301393063961889E-10</v>
      </c>
      <c r="BK4" s="10" t="e">
        <f>BK14/BI4</f>
        <v>#DIV/0!</v>
      </c>
    </row>
    <row r="5" spans="1:77" x14ac:dyDescent="0.25">
      <c r="A5">
        <v>15</v>
      </c>
      <c r="B5">
        <f t="shared" ref="B5:B15" si="6">A5*60</f>
        <v>900</v>
      </c>
      <c r="C5">
        <v>3.2199999999999999E-2</v>
      </c>
      <c r="D5">
        <v>5.1999999999999998E-3</v>
      </c>
      <c r="F5">
        <v>15</v>
      </c>
      <c r="G5">
        <v>4.1200000000000001E-2</v>
      </c>
      <c r="H5">
        <v>4.3E-3</v>
      </c>
      <c r="J5">
        <v>15</v>
      </c>
      <c r="K5">
        <v>3.6799999999999999E-2</v>
      </c>
      <c r="L5">
        <v>6.3E-3</v>
      </c>
      <c r="N5">
        <v>15</v>
      </c>
      <c r="O5">
        <f t="shared" ref="O5:P15" si="7">(C5+G5+K5)/3</f>
        <v>3.6733333333333333E-2</v>
      </c>
      <c r="P5">
        <f t="shared" si="7"/>
        <v>5.2666666666666669E-3</v>
      </c>
      <c r="Q5">
        <f t="shared" ref="Q5:Q15" si="8">_xlfn.STDEV.P(C5,G5,K5)</f>
        <v>3.6745370078721789E-3</v>
      </c>
      <c r="R5">
        <f t="shared" si="0"/>
        <v>8.1785627642568654E-4</v>
      </c>
      <c r="T5" t="s">
        <v>29</v>
      </c>
      <c r="U5">
        <v>152</v>
      </c>
      <c r="Y5">
        <v>15</v>
      </c>
      <c r="Z5">
        <f t="shared" ref="Z5:Z15" si="9">((C5*$U$7)-(D5*$U$6))/(($U$7*$U$4)-($U$6*$U$5))</f>
        <v>6.8944326467381372E-6</v>
      </c>
      <c r="AA5">
        <f t="shared" ref="AA5:AA15" si="10">((D5*$U$4)-(C5*$U$5))/(($U$7*$U$4)-($U$6*$U$5))</f>
        <v>6.8290234172628329E-7</v>
      </c>
      <c r="AC5">
        <f t="shared" ref="AC5:AC15" si="11">((G5*$U$7)-(H5*$U$6))/(($U$7*$U$4)-($U$6*$U$5))</f>
        <v>9.7025045177708627E-6</v>
      </c>
      <c r="AD5">
        <f t="shared" ref="AD5:AD15" si="12">((H5*$U$4)-(G5*$U$5))/(($U$7*$U$4)-($U$6*$U$5))</f>
        <v>4.6467422916099161E-7</v>
      </c>
      <c r="AF5">
        <f t="shared" ref="AF5:AF15" si="13">((K5*$U$7)-(L5*$U$6))/(($U$7*$U$4)-($U$6*$U$5))</f>
        <v>7.7456467908833873E-6</v>
      </c>
      <c r="AG5">
        <f t="shared" ref="AG5:AG15" si="14">((L5*$U$4)-(K5*$U$5))/(($U$7*$U$4)-($U$6*$U$5))</f>
        <v>8.4254304075423111E-7</v>
      </c>
      <c r="AH5">
        <f t="shared" ref="AH5:AH68" si="15">AI5+AJ5</f>
        <v>8.7775678556779656E-6</v>
      </c>
      <c r="AI5">
        <f t="shared" ref="AI5:AI15" si="16">(Z5+AC5+AF5)/3</f>
        <v>8.1141946517974632E-6</v>
      </c>
      <c r="AJ5">
        <f t="shared" ref="AJ5:AJ15" si="17">(AA5+AD5+AG5)/3</f>
        <v>6.6337320388050193E-7</v>
      </c>
      <c r="AK5">
        <f t="shared" ref="AK5:AK68" si="18">1-AI5-AJ5</f>
        <v>0.99999122243214433</v>
      </c>
      <c r="AL5">
        <f t="shared" ref="AL5:AL15" si="19">Z5*500000</f>
        <v>3.4472163233690685</v>
      </c>
      <c r="AM5">
        <f t="shared" ref="AM5:AM15" si="20">AA5*500000</f>
        <v>0.34145117086314164</v>
      </c>
      <c r="AN5">
        <f t="shared" ref="AN5:AN15" si="21">AL5/$U$20</f>
        <v>7.926275145131334E-2</v>
      </c>
      <c r="AO5">
        <f t="shared" ref="AO5:AO15" si="22">AM5/$V$20</f>
        <v>1.8319178650310727E-2</v>
      </c>
      <c r="AP5">
        <f t="shared" ref="AP5:AP15" si="23">AC5*500000</f>
        <v>4.851252258885431</v>
      </c>
      <c r="AQ5">
        <f t="shared" ref="AQ5:AQ15" si="24">AD5*500000</f>
        <v>0.2323371145804958</v>
      </c>
      <c r="AR5">
        <f t="shared" ref="AR5:AR15" si="25">AP5/$U$20</f>
        <v>0.11154611894151505</v>
      </c>
      <c r="AS5">
        <f t="shared" ref="AS5:AS15" si="26">AQ5/$V$20</f>
        <v>1.2465106206368143E-2</v>
      </c>
      <c r="AT5">
        <f t="shared" ref="AT5:AT15" si="27">AF5*500000</f>
        <v>3.8728233954416935</v>
      </c>
      <c r="AU5">
        <f t="shared" ref="AU5:AU15" si="28">AG5*500000</f>
        <v>0.42127152037711557</v>
      </c>
      <c r="AV5">
        <f t="shared" ref="AV5:AV15" si="29">AT5/$U$20</f>
        <v>8.9048846783051513E-2</v>
      </c>
      <c r="AW5">
        <f t="shared" ref="AW5:AW15" si="30">AU5/$V$20</f>
        <v>2.2601615986754416E-2</v>
      </c>
      <c r="AX5">
        <f t="shared" ref="AX5:AX15" si="31">(AN5+AR5+AV5)/3</f>
        <v>9.3285905725293314E-2</v>
      </c>
      <c r="AY5">
        <f t="shared" ref="AY5:AY15" si="32">(AO5+AS5+AW5)/3</f>
        <v>1.7795300281144427E-2</v>
      </c>
      <c r="AZ5">
        <f t="shared" ref="AZ5:AZ15" si="33">_xlfn.STDEV.P(AN5,AR5,AV5)</f>
        <v>1.351587845182772E-2</v>
      </c>
      <c r="BA5">
        <f t="shared" ref="BA5:BA15" si="34">_xlfn.STDEV.P(AO5,AS5,AW5)</f>
        <v>4.154759843940193E-3</v>
      </c>
      <c r="BB5">
        <f t="shared" si="1"/>
        <v>1.1756381394968898E-6</v>
      </c>
      <c r="BC5">
        <f t="shared" si="2"/>
        <v>1.548811374624025E-7</v>
      </c>
      <c r="BD5" t="str">
        <v>Local funcId 1690017899200 not found</v>
      </c>
      <c r="BE5" t="e">
        <f t="shared" si="3"/>
        <v>#VALUE!</v>
      </c>
      <c r="BF5" t="e">
        <f t="shared" si="4"/>
        <v>#VALUE!</v>
      </c>
      <c r="BG5" t="e">
        <f t="shared" si="5"/>
        <v>#VALUE!</v>
      </c>
      <c r="BH5" t="str">
        <f t="shared" ref="BH5:BH15" si="35">ev_THFaktor($U$15,BD5)</f>
        <v>Local funcId 1690017901696 not found</v>
      </c>
    </row>
    <row r="6" spans="1:77" x14ac:dyDescent="0.25">
      <c r="A6">
        <v>30</v>
      </c>
      <c r="B6">
        <f t="shared" si="6"/>
        <v>1800</v>
      </c>
      <c r="C6">
        <v>5.2600000000000001E-2</v>
      </c>
      <c r="D6">
        <v>9.7000000000000003E-3</v>
      </c>
      <c r="F6">
        <v>30</v>
      </c>
      <c r="G6">
        <v>5.91E-2</v>
      </c>
      <c r="H6">
        <v>9.9000000000000008E-3</v>
      </c>
      <c r="J6">
        <v>30</v>
      </c>
      <c r="K6">
        <v>5.5800000000000002E-2</v>
      </c>
      <c r="L6">
        <v>9.4999999999999998E-3</v>
      </c>
      <c r="N6">
        <v>30</v>
      </c>
      <c r="O6">
        <f t="shared" si="7"/>
        <v>5.5833333333333325E-2</v>
      </c>
      <c r="P6">
        <f t="shared" si="7"/>
        <v>9.7000000000000003E-3</v>
      </c>
      <c r="Q6">
        <f t="shared" si="8"/>
        <v>2.6537185649993522E-3</v>
      </c>
      <c r="R6">
        <f t="shared" si="0"/>
        <v>1.6329931618554565E-4</v>
      </c>
      <c r="T6" t="s">
        <v>30</v>
      </c>
      <c r="U6">
        <v>8290</v>
      </c>
      <c r="Y6">
        <v>30</v>
      </c>
      <c r="Z6">
        <f t="shared" si="9"/>
        <v>1.0810993158133178E-5</v>
      </c>
      <c r="AA6">
        <f t="shared" si="10"/>
        <v>1.3251199078887759E-6</v>
      </c>
      <c r="AC6">
        <f t="shared" si="11"/>
        <v>1.2520827628164876E-5</v>
      </c>
      <c r="AD6">
        <f t="shared" si="12"/>
        <v>1.3152687829800889E-6</v>
      </c>
      <c r="AF6">
        <f t="shared" si="13"/>
        <v>1.1764493897667523E-5</v>
      </c>
      <c r="AG6">
        <f t="shared" si="14"/>
        <v>1.2683876525583121E-6</v>
      </c>
      <c r="AH6">
        <f t="shared" si="15"/>
        <v>1.3001697009130918E-5</v>
      </c>
      <c r="AI6">
        <f t="shared" si="16"/>
        <v>1.1698771561321859E-5</v>
      </c>
      <c r="AJ6">
        <f t="shared" si="17"/>
        <v>1.3029254478090591E-6</v>
      </c>
      <c r="AK6">
        <f t="shared" si="18"/>
        <v>0.99998699830299087</v>
      </c>
      <c r="AL6">
        <f t="shared" si="19"/>
        <v>5.4054965790665896</v>
      </c>
      <c r="AM6">
        <f t="shared" si="20"/>
        <v>0.66255995394438794</v>
      </c>
      <c r="AN6">
        <f t="shared" si="21"/>
        <v>0.12429000434725782</v>
      </c>
      <c r="AO6">
        <f t="shared" si="22"/>
        <v>3.5546968933118081E-2</v>
      </c>
      <c r="AP6">
        <f t="shared" si="23"/>
        <v>6.2604138140824377</v>
      </c>
      <c r="AQ6">
        <f t="shared" si="24"/>
        <v>0.65763439149004443</v>
      </c>
      <c r="AR6">
        <f t="shared" si="25"/>
        <v>0.14394734115293825</v>
      </c>
      <c r="AS6">
        <f t="shared" si="26"/>
        <v>3.5282707843234319E-2</v>
      </c>
      <c r="AT6">
        <f t="shared" si="27"/>
        <v>5.8822469488337612</v>
      </c>
      <c r="AU6">
        <f t="shared" si="28"/>
        <v>0.6341938262791561</v>
      </c>
      <c r="AV6">
        <f t="shared" si="29"/>
        <v>0.13525205097224163</v>
      </c>
      <c r="AW6">
        <f t="shared" si="30"/>
        <v>3.4025099322879775E-2</v>
      </c>
      <c r="AX6">
        <f t="shared" si="31"/>
        <v>0.13449646549081257</v>
      </c>
      <c r="AY6">
        <f t="shared" si="32"/>
        <v>3.4951592033077399E-2</v>
      </c>
      <c r="AZ6">
        <f t="shared" si="33"/>
        <v>8.0428396576416334E-3</v>
      </c>
      <c r="BA6">
        <f t="shared" si="34"/>
        <v>6.6395282836640963E-4</v>
      </c>
      <c r="BB6">
        <f t="shared" si="1"/>
        <v>6.9958227910098542E-7</v>
      </c>
      <c r="BC6">
        <f t="shared" si="2"/>
        <v>2.4750833535843088E-8</v>
      </c>
      <c r="BD6" t="str">
        <v>Local funcId 1690017899200 not found</v>
      </c>
      <c r="BE6" t="e">
        <f t="shared" si="3"/>
        <v>#VALUE!</v>
      </c>
      <c r="BF6" t="e">
        <f t="shared" si="4"/>
        <v>#VALUE!</v>
      </c>
      <c r="BG6" t="e">
        <f t="shared" si="5"/>
        <v>#VALUE!</v>
      </c>
      <c r="BH6" t="str">
        <f t="shared" si="35"/>
        <v>Local funcId 1690017901696 not found</v>
      </c>
      <c r="BJ6" s="6" t="s">
        <v>69</v>
      </c>
      <c r="BK6" s="6"/>
    </row>
    <row r="7" spans="1:77" x14ac:dyDescent="0.25">
      <c r="A7">
        <v>60</v>
      </c>
      <c r="B7">
        <f t="shared" si="6"/>
        <v>3600</v>
      </c>
      <c r="C7">
        <v>8.7999999999999995E-2</v>
      </c>
      <c r="D7">
        <v>1.83E-2</v>
      </c>
      <c r="F7">
        <v>60</v>
      </c>
      <c r="G7">
        <v>9.9199999999999997E-2</v>
      </c>
      <c r="H7">
        <v>2.0799999999999999E-2</v>
      </c>
      <c r="J7">
        <v>60</v>
      </c>
      <c r="K7">
        <v>8.9099999999999999E-2</v>
      </c>
      <c r="L7">
        <v>1.7000000000000001E-2</v>
      </c>
      <c r="N7">
        <v>60</v>
      </c>
      <c r="O7">
        <f t="shared" si="7"/>
        <v>9.2100000000000001E-2</v>
      </c>
      <c r="P7">
        <f t="shared" si="7"/>
        <v>1.8699999999999998E-2</v>
      </c>
      <c r="Q7">
        <f t="shared" si="8"/>
        <v>5.0405026204404122E-3</v>
      </c>
      <c r="R7">
        <f t="shared" si="0"/>
        <v>1.5769168230019819E-3</v>
      </c>
      <c r="T7" t="s">
        <v>31</v>
      </c>
      <c r="U7">
        <v>6080</v>
      </c>
      <c r="Y7">
        <v>60</v>
      </c>
      <c r="Z7">
        <f t="shared" si="9"/>
        <v>1.7311182106086867E-5</v>
      </c>
      <c r="AA7">
        <f t="shared" si="10"/>
        <v>2.5770888684004604E-6</v>
      </c>
      <c r="AC7">
        <f t="shared" si="11"/>
        <v>1.9450439638173697E-5</v>
      </c>
      <c r="AD7">
        <f t="shared" si="12"/>
        <v>2.9347916406246046E-6</v>
      </c>
      <c r="AF7">
        <f t="shared" si="13"/>
        <v>1.8099895301879577E-5</v>
      </c>
      <c r="AG7">
        <f t="shared" si="14"/>
        <v>2.3435552490319582E-6</v>
      </c>
      <c r="AH7">
        <f t="shared" si="15"/>
        <v>2.0905650934732389E-5</v>
      </c>
      <c r="AI7">
        <f t="shared" si="16"/>
        <v>1.8287172348713381E-5</v>
      </c>
      <c r="AJ7">
        <f t="shared" si="17"/>
        <v>2.6184785860190079E-6</v>
      </c>
      <c r="AK7">
        <f t="shared" si="18"/>
        <v>0.99997909434906518</v>
      </c>
      <c r="AL7">
        <f t="shared" si="19"/>
        <v>8.6555910530434339</v>
      </c>
      <c r="AM7">
        <f t="shared" si="20"/>
        <v>1.2885444342002301</v>
      </c>
      <c r="AN7">
        <f t="shared" si="21"/>
        <v>0.19902028127758464</v>
      </c>
      <c r="AO7">
        <f t="shared" si="22"/>
        <v>6.9131629068095404E-2</v>
      </c>
      <c r="AP7">
        <f t="shared" si="23"/>
        <v>9.7252198190868491</v>
      </c>
      <c r="AQ7">
        <f t="shared" si="24"/>
        <v>1.4673958203123023</v>
      </c>
      <c r="AR7">
        <f t="shared" si="25"/>
        <v>0.22361453677972107</v>
      </c>
      <c r="AS7">
        <f t="shared" si="26"/>
        <v>7.8727175294398974E-2</v>
      </c>
      <c r="AT7">
        <f t="shared" si="27"/>
        <v>9.0499476509397887</v>
      </c>
      <c r="AU7">
        <f t="shared" si="28"/>
        <v>1.171777624515979</v>
      </c>
      <c r="AV7">
        <f t="shared" si="29"/>
        <v>0.20808782623852726</v>
      </c>
      <c r="AW7">
        <f t="shared" si="30"/>
        <v>6.2866979157464406E-2</v>
      </c>
      <c r="AX7">
        <f t="shared" si="31"/>
        <v>0.21024088143194433</v>
      </c>
      <c r="AY7">
        <f t="shared" si="32"/>
        <v>7.0241927839986271E-2</v>
      </c>
      <c r="AZ7">
        <f t="shared" si="33"/>
        <v>1.0155329829717239E-2</v>
      </c>
      <c r="BA7">
        <f t="shared" si="34"/>
        <v>6.5223220761553577E-3</v>
      </c>
      <c r="BB7">
        <f t="shared" si="1"/>
        <v>8.8333089924846456E-7</v>
      </c>
      <c r="BC7">
        <f t="shared" si="2"/>
        <v>2.4313912235491928E-7</v>
      </c>
      <c r="BD7" t="str">
        <v>Local funcId 1690017899200 not found</v>
      </c>
      <c r="BE7" t="e">
        <f t="shared" si="3"/>
        <v>#VALUE!</v>
      </c>
      <c r="BF7" t="e">
        <f t="shared" si="4"/>
        <v>#VALUE!</v>
      </c>
      <c r="BG7" t="e">
        <f t="shared" si="5"/>
        <v>#VALUE!</v>
      </c>
      <c r="BH7" t="str">
        <f t="shared" si="35"/>
        <v>Local funcId 1690017901696 not found</v>
      </c>
      <c r="BJ7" t="s">
        <v>70</v>
      </c>
      <c r="BK7" s="7">
        <v>1E-4</v>
      </c>
    </row>
    <row r="8" spans="1:77" x14ac:dyDescent="0.25">
      <c r="A8">
        <v>90</v>
      </c>
      <c r="B8">
        <f t="shared" si="6"/>
        <v>5400</v>
      </c>
      <c r="C8">
        <v>0.122</v>
      </c>
      <c r="D8">
        <v>2.7900000000000001E-2</v>
      </c>
      <c r="F8">
        <v>90</v>
      </c>
      <c r="G8">
        <v>0.1381</v>
      </c>
      <c r="H8">
        <v>3.1199999999999999E-2</v>
      </c>
      <c r="J8">
        <v>90</v>
      </c>
      <c r="K8">
        <v>0.1221</v>
      </c>
      <c r="L8">
        <v>2.6100000000000002E-2</v>
      </c>
      <c r="N8">
        <v>90</v>
      </c>
      <c r="O8">
        <f t="shared" si="7"/>
        <v>0.12739999999999999</v>
      </c>
      <c r="P8">
        <f t="shared" si="7"/>
        <v>2.8399999999999998E-2</v>
      </c>
      <c r="Q8">
        <f t="shared" si="8"/>
        <v>7.566152699137566E-3</v>
      </c>
      <c r="R8">
        <f t="shared" si="0"/>
        <v>2.1118712081942864E-3</v>
      </c>
      <c r="Y8">
        <v>90</v>
      </c>
      <c r="Z8">
        <f t="shared" si="9"/>
        <v>2.3052598702725982E-5</v>
      </c>
      <c r="AA8">
        <f t="shared" si="10"/>
        <v>4.0125008219055346E-6</v>
      </c>
      <c r="AC8">
        <f t="shared" si="11"/>
        <v>2.6237753607533063E-5</v>
      </c>
      <c r="AD8">
        <f t="shared" si="12"/>
        <v>4.4756351071800948E-6</v>
      </c>
      <c r="AF8">
        <f t="shared" si="13"/>
        <v>2.3753927985901522E-5</v>
      </c>
      <c r="AG8">
        <f t="shared" si="14"/>
        <v>3.6989149582471991E-6</v>
      </c>
      <c r="AH8">
        <f t="shared" si="15"/>
        <v>2.8410443727831135E-5</v>
      </c>
      <c r="AI8">
        <f t="shared" si="16"/>
        <v>2.4348093432053525E-5</v>
      </c>
      <c r="AJ8">
        <f t="shared" si="17"/>
        <v>4.0623502957776093E-6</v>
      </c>
      <c r="AK8">
        <f t="shared" si="18"/>
        <v>0.99997158955627208</v>
      </c>
      <c r="AL8">
        <f t="shared" si="19"/>
        <v>11.52629935136299</v>
      </c>
      <c r="AM8">
        <f t="shared" si="20"/>
        <v>2.0062504109527675</v>
      </c>
      <c r="AN8">
        <f t="shared" si="21"/>
        <v>0.2650272321023428</v>
      </c>
      <c r="AO8">
        <f t="shared" si="22"/>
        <v>0.10763723434480216</v>
      </c>
      <c r="AP8">
        <f t="shared" si="23"/>
        <v>13.118876803766531</v>
      </c>
      <c r="AQ8">
        <f t="shared" si="24"/>
        <v>2.2378175535900473</v>
      </c>
      <c r="AR8">
        <f t="shared" si="25"/>
        <v>0.30164578427183858</v>
      </c>
      <c r="AS8">
        <f t="shared" si="26"/>
        <v>0.12006103082730014</v>
      </c>
      <c r="AT8">
        <f t="shared" si="27"/>
        <v>11.876963992950762</v>
      </c>
      <c r="AU8">
        <f t="shared" si="28"/>
        <v>1.8494574791235996</v>
      </c>
      <c r="AV8">
        <f t="shared" si="29"/>
        <v>0.27309015642203588</v>
      </c>
      <c r="AW8">
        <f t="shared" si="30"/>
        <v>9.9225145078791765E-2</v>
      </c>
      <c r="AX8">
        <f t="shared" si="31"/>
        <v>0.27992105759873903</v>
      </c>
      <c r="AY8">
        <f t="shared" si="32"/>
        <v>0.10897447008363136</v>
      </c>
      <c r="AZ8">
        <f t="shared" si="33"/>
        <v>1.5710410538067529E-2</v>
      </c>
      <c r="BA8">
        <f t="shared" si="34"/>
        <v>8.558609049649956E-3</v>
      </c>
      <c r="BB8">
        <f t="shared" si="1"/>
        <v>1.36652292942219E-6</v>
      </c>
      <c r="BC8">
        <f t="shared" si="2"/>
        <v>3.1904782815285122E-7</v>
      </c>
      <c r="BD8" t="str">
        <v>Local funcId 1690017899200 not found</v>
      </c>
      <c r="BE8" t="e">
        <f t="shared" si="3"/>
        <v>#VALUE!</v>
      </c>
      <c r="BF8" t="e">
        <f t="shared" si="4"/>
        <v>#VALUE!</v>
      </c>
      <c r="BG8" t="e">
        <f t="shared" si="5"/>
        <v>#VALUE!</v>
      </c>
      <c r="BH8" t="str">
        <f t="shared" si="35"/>
        <v>Local funcId 1690017901696 not found</v>
      </c>
      <c r="BJ8" t="s">
        <v>117</v>
      </c>
      <c r="BK8">
        <f>1-BK11/($BK$15+BK11)</f>
        <v>0.99987575916506832</v>
      </c>
    </row>
    <row r="9" spans="1:77" x14ac:dyDescent="0.25">
      <c r="A9">
        <v>120</v>
      </c>
      <c r="B9">
        <f t="shared" si="6"/>
        <v>7200</v>
      </c>
      <c r="C9">
        <v>0.1593</v>
      </c>
      <c r="D9">
        <v>4.0099999999999997E-2</v>
      </c>
      <c r="F9">
        <v>120</v>
      </c>
      <c r="G9">
        <v>0.16769999999999999</v>
      </c>
      <c r="H9">
        <v>3.9100000000000003E-2</v>
      </c>
      <c r="J9">
        <v>120</v>
      </c>
      <c r="K9">
        <v>0.1537</v>
      </c>
      <c r="L9">
        <v>3.4799999999999998E-2</v>
      </c>
      <c r="N9">
        <v>120</v>
      </c>
      <c r="O9">
        <f t="shared" si="7"/>
        <v>0.16023333333333331</v>
      </c>
      <c r="P9">
        <f t="shared" si="7"/>
        <v>3.7999999999999999E-2</v>
      </c>
      <c r="Q9">
        <f t="shared" si="8"/>
        <v>5.7534530694377051E-3</v>
      </c>
      <c r="R9">
        <f t="shared" si="0"/>
        <v>2.2992752481307385E-3</v>
      </c>
      <c r="T9" s="6" t="s">
        <v>86</v>
      </c>
      <c r="Y9">
        <v>120</v>
      </c>
      <c r="Z9">
        <f t="shared" si="9"/>
        <v>2.8726727428667631E-5</v>
      </c>
      <c r="AA9">
        <f t="shared" si="10"/>
        <v>5.8772265511254139E-6</v>
      </c>
      <c r="AC9">
        <f t="shared" si="11"/>
        <v>3.1407494261112337E-5</v>
      </c>
      <c r="AD9">
        <f t="shared" si="12"/>
        <v>5.6457336961037711E-6</v>
      </c>
      <c r="AF9">
        <f t="shared" si="13"/>
        <v>2.9173311155732856E-5</v>
      </c>
      <c r="AG9">
        <f t="shared" si="14"/>
        <v>4.9943514316329933E-6</v>
      </c>
      <c r="AH9">
        <f t="shared" si="15"/>
        <v>3.5274948174791667E-5</v>
      </c>
      <c r="AI9">
        <f t="shared" si="16"/>
        <v>2.9769177615170939E-5</v>
      </c>
      <c r="AJ9">
        <f t="shared" si="17"/>
        <v>5.5057705596207256E-6</v>
      </c>
      <c r="AK9">
        <f t="shared" si="18"/>
        <v>0.99996472505182521</v>
      </c>
      <c r="AL9">
        <f t="shared" si="19"/>
        <v>14.363363714333815</v>
      </c>
      <c r="AM9">
        <f t="shared" si="20"/>
        <v>2.938613275562707</v>
      </c>
      <c r="AN9">
        <f t="shared" si="21"/>
        <v>0.33026059907414901</v>
      </c>
      <c r="AO9">
        <f t="shared" si="22"/>
        <v>0.15765938492208312</v>
      </c>
      <c r="AP9">
        <f t="shared" si="23"/>
        <v>15.703747130556168</v>
      </c>
      <c r="AQ9">
        <f t="shared" si="24"/>
        <v>2.8228668480518855</v>
      </c>
      <c r="AR9">
        <f t="shared" si="25"/>
        <v>0.36108038744926924</v>
      </c>
      <c r="AS9">
        <f t="shared" si="26"/>
        <v>0.1514494794812965</v>
      </c>
      <c r="AT9">
        <f t="shared" si="27"/>
        <v>14.586655577866429</v>
      </c>
      <c r="AU9">
        <f t="shared" si="28"/>
        <v>2.4971757158164967</v>
      </c>
      <c r="AV9">
        <f t="shared" si="29"/>
        <v>0.33539480761229745</v>
      </c>
      <c r="AW9">
        <f t="shared" si="30"/>
        <v>0.13397584182716329</v>
      </c>
      <c r="AX9">
        <f t="shared" si="31"/>
        <v>0.34224526471190525</v>
      </c>
      <c r="AY9">
        <f t="shared" si="32"/>
        <v>0.14769490207684763</v>
      </c>
      <c r="AZ9">
        <f t="shared" si="33"/>
        <v>1.3482368998732478E-2</v>
      </c>
      <c r="BA9">
        <f t="shared" si="34"/>
        <v>1.0026637588501594E-2</v>
      </c>
      <c r="BB9">
        <f t="shared" si="1"/>
        <v>1.1727234202477481E-6</v>
      </c>
      <c r="BC9">
        <f t="shared" si="2"/>
        <v>3.7377299602416226E-7</v>
      </c>
      <c r="BD9" t="str">
        <v>Local funcId 1690017899200 not found</v>
      </c>
      <c r="BE9" t="e">
        <f t="shared" si="3"/>
        <v>#VALUE!</v>
      </c>
      <c r="BF9" t="e">
        <f t="shared" si="4"/>
        <v>#VALUE!</v>
      </c>
      <c r="BG9" t="e">
        <f t="shared" si="5"/>
        <v>#VALUE!</v>
      </c>
      <c r="BH9" t="str">
        <f t="shared" si="35"/>
        <v>Local funcId 1690017901696 not found</v>
      </c>
      <c r="BJ9" t="s">
        <v>73</v>
      </c>
      <c r="BK9">
        <v>1E-3</v>
      </c>
    </row>
    <row r="10" spans="1:77" x14ac:dyDescent="0.25">
      <c r="A10">
        <v>150</v>
      </c>
      <c r="B10">
        <f t="shared" si="6"/>
        <v>9000</v>
      </c>
      <c r="C10">
        <v>0.19470000000000001</v>
      </c>
      <c r="D10">
        <v>0.05</v>
      </c>
      <c r="F10">
        <v>150</v>
      </c>
      <c r="G10">
        <v>0.20050000000000001</v>
      </c>
      <c r="H10">
        <v>5.0200000000000002E-2</v>
      </c>
      <c r="J10">
        <v>150</v>
      </c>
      <c r="K10">
        <v>0.18679999999999999</v>
      </c>
      <c r="L10">
        <v>4.5499999999999999E-2</v>
      </c>
      <c r="N10">
        <v>150</v>
      </c>
      <c r="O10">
        <f t="shared" si="7"/>
        <v>0.19399999999999998</v>
      </c>
      <c r="P10">
        <f t="shared" si="7"/>
        <v>4.8566666666666668E-2</v>
      </c>
      <c r="Q10">
        <f t="shared" si="8"/>
        <v>5.6148612330730622E-3</v>
      </c>
      <c r="R10">
        <f t="shared" si="0"/>
        <v>2.1699974398346408E-3</v>
      </c>
      <c r="T10" t="s">
        <v>88</v>
      </c>
      <c r="U10" t="s">
        <v>89</v>
      </c>
      <c r="W10" t="s">
        <v>87</v>
      </c>
      <c r="Y10">
        <v>150</v>
      </c>
      <c r="Z10">
        <f t="shared" si="9"/>
        <v>3.4740230885006205E-5</v>
      </c>
      <c r="AA10">
        <f t="shared" si="10"/>
        <v>7.3551784384011618E-6</v>
      </c>
      <c r="AC10">
        <f t="shared" si="11"/>
        <v>3.6257865906924887E-5</v>
      </c>
      <c r="AD10">
        <f t="shared" si="12"/>
        <v>7.3501322996953002E-6</v>
      </c>
      <c r="AF10">
        <f t="shared" si="13"/>
        <v>3.4255803375629256E-5</v>
      </c>
      <c r="AG10">
        <f t="shared" si="14"/>
        <v>6.6271575471882159E-6</v>
      </c>
      <c r="AH10">
        <f t="shared" si="15"/>
        <v>4.2195456150948338E-5</v>
      </c>
      <c r="AI10">
        <f t="shared" si="16"/>
        <v>3.508463338918678E-5</v>
      </c>
      <c r="AJ10">
        <f t="shared" si="17"/>
        <v>7.1108227617615602E-6</v>
      </c>
      <c r="AK10">
        <f t="shared" si="18"/>
        <v>0.99995780454384908</v>
      </c>
      <c r="AL10">
        <f t="shared" si="19"/>
        <v>17.370115442503103</v>
      </c>
      <c r="AM10">
        <f t="shared" si="20"/>
        <v>3.677589219200581</v>
      </c>
      <c r="AN10">
        <f t="shared" si="21"/>
        <v>0.39939563225732</v>
      </c>
      <c r="AO10">
        <f t="shared" si="22"/>
        <v>0.1973061440635539</v>
      </c>
      <c r="AP10">
        <f t="shared" si="23"/>
        <v>18.128932953462442</v>
      </c>
      <c r="AQ10">
        <f t="shared" si="24"/>
        <v>3.67506614984765</v>
      </c>
      <c r="AR10">
        <f t="shared" si="25"/>
        <v>0.41684332283604519</v>
      </c>
      <c r="AS10">
        <f t="shared" si="26"/>
        <v>0.19717077900357585</v>
      </c>
      <c r="AT10">
        <f t="shared" si="27"/>
        <v>17.127901687814628</v>
      </c>
      <c r="AU10">
        <f t="shared" si="28"/>
        <v>3.313578773594108</v>
      </c>
      <c r="AV10">
        <f t="shared" si="29"/>
        <v>0.39382634769986041</v>
      </c>
      <c r="AW10">
        <f t="shared" si="30"/>
        <v>0.17777663896100157</v>
      </c>
      <c r="AX10">
        <f t="shared" si="31"/>
        <v>0.40335510093107518</v>
      </c>
      <c r="AY10">
        <f t="shared" si="32"/>
        <v>0.19075118734271046</v>
      </c>
      <c r="AZ10">
        <f t="shared" si="33"/>
        <v>9.8048739661719155E-3</v>
      </c>
      <c r="BA10">
        <f t="shared" si="34"/>
        <v>9.1745575808625576E-3</v>
      </c>
      <c r="BB10">
        <f t="shared" si="1"/>
        <v>8.5284754732556856E-7</v>
      </c>
      <c r="BC10">
        <f t="shared" si="2"/>
        <v>3.4200915749939447E-7</v>
      </c>
      <c r="BD10" t="str">
        <v>Local funcId 1690017899200 not found</v>
      </c>
      <c r="BE10" t="e">
        <f t="shared" si="3"/>
        <v>#VALUE!</v>
      </c>
      <c r="BF10" t="e">
        <f t="shared" si="4"/>
        <v>#VALUE!</v>
      </c>
      <c r="BG10" t="e">
        <f t="shared" si="5"/>
        <v>#VALUE!</v>
      </c>
      <c r="BH10" t="str">
        <f t="shared" si="35"/>
        <v>Local funcId 1690017901696 not found</v>
      </c>
      <c r="BJ10" t="s">
        <v>74</v>
      </c>
      <c r="BK10">
        <f>PI()/4*0.008^2</f>
        <v>5.0265482457436686E-5</v>
      </c>
    </row>
    <row r="11" spans="1:77" x14ac:dyDescent="0.25">
      <c r="A11">
        <v>180</v>
      </c>
      <c r="B11">
        <f t="shared" si="6"/>
        <v>10800</v>
      </c>
      <c r="C11">
        <v>0.22670000000000001</v>
      </c>
      <c r="D11">
        <v>6.2399999999999997E-2</v>
      </c>
      <c r="F11">
        <v>180</v>
      </c>
      <c r="G11">
        <v>0.2306</v>
      </c>
      <c r="H11">
        <v>6.13E-2</v>
      </c>
      <c r="J11">
        <v>180</v>
      </c>
      <c r="K11">
        <v>0.2147</v>
      </c>
      <c r="L11">
        <v>5.5199999999999999E-2</v>
      </c>
      <c r="N11">
        <v>180</v>
      </c>
      <c r="O11">
        <f t="shared" si="7"/>
        <v>0.224</v>
      </c>
      <c r="P11">
        <f t="shared" si="7"/>
        <v>5.9633333333333337E-2</v>
      </c>
      <c r="Q11">
        <f t="shared" si="8"/>
        <v>6.7660919296149095E-3</v>
      </c>
      <c r="R11">
        <f t="shared" si="0"/>
        <v>3.1668421004036316E-3</v>
      </c>
      <c r="T11" s="8" t="s">
        <v>90</v>
      </c>
      <c r="Y11">
        <v>180</v>
      </c>
      <c r="Z11">
        <f t="shared" si="9"/>
        <v>3.8884260527074478E-5</v>
      </c>
      <c r="AA11">
        <f t="shared" si="10"/>
        <v>9.2910513815599798E-6</v>
      </c>
      <c r="AC11">
        <f t="shared" si="11"/>
        <v>4.0366896824301521E-5</v>
      </c>
      <c r="AD11">
        <f t="shared" si="12"/>
        <v>9.0730644214977259E-6</v>
      </c>
      <c r="AF11">
        <f t="shared" si="13"/>
        <v>3.8284901721774683E-5</v>
      </c>
      <c r="AG11">
        <f t="shared" si="14"/>
        <v>8.1218248253766862E-6</v>
      </c>
      <c r="AH11">
        <f t="shared" si="15"/>
        <v>4.8007333233861691E-5</v>
      </c>
      <c r="AI11">
        <f t="shared" si="16"/>
        <v>3.9178686357716894E-5</v>
      </c>
      <c r="AJ11">
        <f t="shared" si="17"/>
        <v>8.8286468761447967E-6</v>
      </c>
      <c r="AK11">
        <f t="shared" si="18"/>
        <v>0.99995199266676615</v>
      </c>
      <c r="AL11">
        <f t="shared" si="19"/>
        <v>19.442130263537241</v>
      </c>
      <c r="AM11">
        <f t="shared" si="20"/>
        <v>4.6455256907799898</v>
      </c>
      <c r="AN11">
        <f t="shared" si="21"/>
        <v>0.44703801392327702</v>
      </c>
      <c r="AO11">
        <f t="shared" si="22"/>
        <v>0.24923685234079027</v>
      </c>
      <c r="AP11">
        <f t="shared" si="23"/>
        <v>20.18344841215076</v>
      </c>
      <c r="AQ11">
        <f t="shared" si="24"/>
        <v>4.536532210748863</v>
      </c>
      <c r="AR11">
        <f t="shared" si="25"/>
        <v>0.4640833370617084</v>
      </c>
      <c r="AS11">
        <f t="shared" si="26"/>
        <v>0.24338924892692007</v>
      </c>
      <c r="AT11">
        <f t="shared" si="27"/>
        <v>19.14245086088734</v>
      </c>
      <c r="AU11">
        <f t="shared" si="28"/>
        <v>4.0609124126883431</v>
      </c>
      <c r="AV11">
        <f t="shared" si="29"/>
        <v>0.44014740661027202</v>
      </c>
      <c r="AW11">
        <f t="shared" si="30"/>
        <v>0.21787179637793569</v>
      </c>
      <c r="AX11">
        <f t="shared" si="31"/>
        <v>0.45042291919841909</v>
      </c>
      <c r="AY11">
        <f t="shared" si="32"/>
        <v>0.23683263254854867</v>
      </c>
      <c r="AZ11">
        <f t="shared" si="33"/>
        <v>1.0060661987340052E-2</v>
      </c>
      <c r="BA11">
        <f t="shared" si="34"/>
        <v>1.3618213236644909E-2</v>
      </c>
      <c r="BB11">
        <f t="shared" si="1"/>
        <v>8.7509650098281223E-7</v>
      </c>
      <c r="BC11">
        <f t="shared" si="2"/>
        <v>5.0765975303564911E-7</v>
      </c>
      <c r="BD11" t="str">
        <v>Local funcId 1690017899200 not found</v>
      </c>
      <c r="BE11" t="e">
        <f t="shared" si="3"/>
        <v>#VALUE!</v>
      </c>
      <c r="BF11" t="e">
        <f t="shared" si="4"/>
        <v>#VALUE!</v>
      </c>
      <c r="BG11" t="e">
        <f t="shared" si="5"/>
        <v>#VALUE!</v>
      </c>
      <c r="BH11" t="str">
        <f t="shared" si="35"/>
        <v>Local funcId 1690017901696 not found</v>
      </c>
      <c r="BJ11" t="s">
        <v>130</v>
      </c>
      <c r="BK11">
        <f>BK9*BK10*BK12</f>
        <v>6.2128136317391754E-5</v>
      </c>
      <c r="BW11" t="s">
        <v>95</v>
      </c>
    </row>
    <row r="12" spans="1:77" x14ac:dyDescent="0.25">
      <c r="A12">
        <v>210</v>
      </c>
      <c r="B12">
        <f t="shared" si="6"/>
        <v>12600</v>
      </c>
      <c r="C12">
        <v>0.2535</v>
      </c>
      <c r="D12">
        <v>7.1599999999999997E-2</v>
      </c>
      <c r="F12">
        <v>210</v>
      </c>
      <c r="G12">
        <v>0.26019999999999999</v>
      </c>
      <c r="H12">
        <v>7.2599999999999998E-2</v>
      </c>
      <c r="J12">
        <v>210</v>
      </c>
      <c r="K12">
        <v>0.2419</v>
      </c>
      <c r="L12">
        <v>6.4699999999999994E-2</v>
      </c>
      <c r="N12">
        <v>210</v>
      </c>
      <c r="O12">
        <f t="shared" si="7"/>
        <v>0.25186666666666668</v>
      </c>
      <c r="P12">
        <f t="shared" si="7"/>
        <v>6.9633333333333325E-2</v>
      </c>
      <c r="Q12">
        <f t="shared" si="8"/>
        <v>7.5596884121562043E-3</v>
      </c>
      <c r="R12">
        <f t="shared" si="0"/>
        <v>3.5122009560324945E-3</v>
      </c>
      <c r="T12" t="str">
        <f>get_mixture_xl(T10:W10)</f>
        <v>Local funcId 1690017902464 not found</v>
      </c>
      <c r="Y12">
        <v>210</v>
      </c>
      <c r="Z12">
        <f t="shared" si="9"/>
        <v>4.2798517896586584E-5</v>
      </c>
      <c r="AA12">
        <f t="shared" si="10"/>
        <v>1.0706352842059017E-5</v>
      </c>
      <c r="AC12">
        <f t="shared" si="11"/>
        <v>4.4263767730579725E-5</v>
      </c>
      <c r="AD12">
        <f t="shared" si="12"/>
        <v>1.0834195280419717E-5</v>
      </c>
      <c r="AF12">
        <f t="shared" si="13"/>
        <v>4.2196675310824805E-5</v>
      </c>
      <c r="AG12">
        <f t="shared" si="14"/>
        <v>9.5865304856504323E-6</v>
      </c>
      <c r="AH12">
        <f t="shared" si="15"/>
        <v>5.3462013182040092E-5</v>
      </c>
      <c r="AI12">
        <f t="shared" si="16"/>
        <v>4.3086320312663702E-5</v>
      </c>
      <c r="AJ12">
        <f t="shared" si="17"/>
        <v>1.0375692869376388E-5</v>
      </c>
      <c r="AK12">
        <f t="shared" si="18"/>
        <v>0.99994653798681798</v>
      </c>
      <c r="AL12">
        <f t="shared" si="19"/>
        <v>21.399258948293291</v>
      </c>
      <c r="AM12">
        <f t="shared" si="20"/>
        <v>5.3531764210295085</v>
      </c>
      <c r="AN12">
        <f t="shared" si="21"/>
        <v>0.49203878844573107</v>
      </c>
      <c r="AO12">
        <f t="shared" si="22"/>
        <v>0.28720298412090289</v>
      </c>
      <c r="AP12">
        <f t="shared" si="23"/>
        <v>22.131883865289861</v>
      </c>
      <c r="AQ12">
        <f t="shared" si="24"/>
        <v>5.4170976402098585</v>
      </c>
      <c r="AR12">
        <f t="shared" si="25"/>
        <v>0.50888422582350057</v>
      </c>
      <c r="AS12">
        <f t="shared" si="26"/>
        <v>0.29063241805943768</v>
      </c>
      <c r="AT12">
        <f t="shared" si="27"/>
        <v>21.098337655412404</v>
      </c>
      <c r="AU12">
        <f t="shared" si="28"/>
        <v>4.7932652428252158</v>
      </c>
      <c r="AV12">
        <f t="shared" si="29"/>
        <v>0.48511962602406022</v>
      </c>
      <c r="AW12">
        <f t="shared" si="30"/>
        <v>0.25716321920839186</v>
      </c>
      <c r="AX12">
        <f t="shared" si="31"/>
        <v>0.4953475467644306</v>
      </c>
      <c r="AY12">
        <f t="shared" si="32"/>
        <v>0.27833287379624411</v>
      </c>
      <c r="AZ12">
        <f t="shared" si="33"/>
        <v>9.979978694551828E-3</v>
      </c>
      <c r="BA12">
        <f t="shared" si="34"/>
        <v>1.5034537146437757E-2</v>
      </c>
      <c r="BB12">
        <f t="shared" si="1"/>
        <v>8.6807850680950638E-7</v>
      </c>
      <c r="BC12">
        <f t="shared" si="2"/>
        <v>5.6045747574490595E-7</v>
      </c>
      <c r="BD12" t="str">
        <v>Local funcId 1690017899200 not found</v>
      </c>
      <c r="BE12" t="e">
        <f t="shared" si="3"/>
        <v>#VALUE!</v>
      </c>
      <c r="BF12" t="e">
        <f t="shared" si="4"/>
        <v>#VALUE!</v>
      </c>
      <c r="BG12" t="e">
        <f t="shared" si="5"/>
        <v>#VALUE!</v>
      </c>
      <c r="BH12" t="str">
        <f t="shared" si="35"/>
        <v>Local funcId 1690017901696 not found</v>
      </c>
      <c r="BJ12" t="s">
        <v>82</v>
      </c>
      <c r="BK12">
        <v>1236</v>
      </c>
      <c r="BW12" t="s">
        <v>92</v>
      </c>
      <c r="BX12" t="s">
        <v>131</v>
      </c>
      <c r="BY12" t="s">
        <v>132</v>
      </c>
    </row>
    <row r="13" spans="1:77" x14ac:dyDescent="0.25">
      <c r="A13">
        <v>240</v>
      </c>
      <c r="B13">
        <f t="shared" si="6"/>
        <v>14400</v>
      </c>
      <c r="C13">
        <v>0.28410000000000002</v>
      </c>
      <c r="D13">
        <v>8.2299999999999998E-2</v>
      </c>
      <c r="F13">
        <v>240</v>
      </c>
      <c r="G13">
        <v>0.29389999999999999</v>
      </c>
      <c r="H13">
        <v>8.8200000000000001E-2</v>
      </c>
      <c r="J13">
        <v>240</v>
      </c>
      <c r="K13">
        <v>0.26829999999999998</v>
      </c>
      <c r="L13">
        <v>7.4899999999999994E-2</v>
      </c>
      <c r="N13">
        <v>240</v>
      </c>
      <c r="O13">
        <f t="shared" si="7"/>
        <v>0.28210000000000002</v>
      </c>
      <c r="P13">
        <f t="shared" si="7"/>
        <v>8.1799999999999998E-2</v>
      </c>
      <c r="Q13">
        <f t="shared" si="8"/>
        <v>1.0546405390779686E-2</v>
      </c>
      <c r="R13">
        <f t="shared" si="0"/>
        <v>5.4412008478521264E-3</v>
      </c>
      <c r="Y13">
        <v>240</v>
      </c>
      <c r="Z13">
        <f t="shared" si="9"/>
        <v>4.7194583516079371E-5</v>
      </c>
      <c r="AA13">
        <f t="shared" si="10"/>
        <v>1.2356319622624332E-5</v>
      </c>
      <c r="AC13">
        <f t="shared" si="11"/>
        <v>4.7676572404639084E-5</v>
      </c>
      <c r="AD13">
        <f t="shared" si="12"/>
        <v>1.3314664637252444E-5</v>
      </c>
      <c r="AF13">
        <f t="shared" si="13"/>
        <v>4.5626730969183782E-5</v>
      </c>
      <c r="AG13">
        <f t="shared" si="14"/>
        <v>1.1178410673138827E-5</v>
      </c>
      <c r="AH13">
        <f t="shared" si="15"/>
        <v>5.9115760607639283E-5</v>
      </c>
      <c r="AI13">
        <f t="shared" si="16"/>
        <v>4.6832628963300748E-5</v>
      </c>
      <c r="AJ13">
        <f t="shared" si="17"/>
        <v>1.2283131644338535E-5</v>
      </c>
      <c r="AK13">
        <f t="shared" si="18"/>
        <v>0.99994088423939231</v>
      </c>
      <c r="AL13">
        <f t="shared" si="19"/>
        <v>23.597291758039685</v>
      </c>
      <c r="AM13">
        <f t="shared" si="20"/>
        <v>6.1781598113121658</v>
      </c>
      <c r="AN13">
        <f t="shared" si="21"/>
        <v>0.54257873486559716</v>
      </c>
      <c r="AO13">
        <f t="shared" si="22"/>
        <v>0.33146412421869015</v>
      </c>
      <c r="AP13">
        <f t="shared" si="23"/>
        <v>23.838286202319541</v>
      </c>
      <c r="AQ13">
        <f t="shared" si="24"/>
        <v>6.6573323186262217</v>
      </c>
      <c r="AR13">
        <f t="shared" si="25"/>
        <v>0.54811998349818447</v>
      </c>
      <c r="AS13">
        <f t="shared" si="26"/>
        <v>0.35717218298332648</v>
      </c>
      <c r="AT13">
        <f t="shared" si="27"/>
        <v>22.813365484591891</v>
      </c>
      <c r="AU13">
        <f t="shared" si="28"/>
        <v>5.589205336569413</v>
      </c>
      <c r="AV13">
        <f t="shared" si="29"/>
        <v>0.52455371190802447</v>
      </c>
      <c r="AW13">
        <f t="shared" si="30"/>
        <v>0.2998661589446544</v>
      </c>
      <c r="AX13">
        <f t="shared" si="31"/>
        <v>0.5384174767572687</v>
      </c>
      <c r="AY13">
        <f t="shared" si="32"/>
        <v>0.32950082204889036</v>
      </c>
      <c r="AZ13">
        <f t="shared" si="33"/>
        <v>1.0060793240707303E-2</v>
      </c>
      <c r="BA13">
        <f t="shared" si="34"/>
        <v>2.3436239947819716E-2</v>
      </c>
      <c r="BB13">
        <f t="shared" si="1"/>
        <v>8.7510791766320427E-7</v>
      </c>
      <c r="BC13">
        <f t="shared" si="2"/>
        <v>8.7365615277482314E-7</v>
      </c>
      <c r="BD13" t="str">
        <v>Local funcId 1690017899200 not found</v>
      </c>
      <c r="BE13" t="e">
        <f t="shared" si="3"/>
        <v>#VALUE!</v>
      </c>
      <c r="BF13" t="e">
        <f t="shared" si="4"/>
        <v>#VALUE!</v>
      </c>
      <c r="BG13" t="e">
        <f t="shared" si="5"/>
        <v>#VALUE!</v>
      </c>
      <c r="BH13" t="str">
        <f t="shared" si="35"/>
        <v>Local funcId 1690017901696 not found</v>
      </c>
      <c r="BJ13" t="s">
        <v>123</v>
      </c>
      <c r="BK13">
        <v>473.01393063961888</v>
      </c>
      <c r="BV13" t="s">
        <v>103</v>
      </c>
      <c r="BW13">
        <v>0.3</v>
      </c>
      <c r="BX13">
        <f>Sorptionsmessungen!AI14</f>
        <v>-11.063370645370247</v>
      </c>
      <c r="BY13" t="e">
        <f>Sorptionsmessungen!AI18</f>
        <v>#DIV/0!</v>
      </c>
    </row>
    <row r="14" spans="1:77" x14ac:dyDescent="0.25">
      <c r="A14">
        <v>270</v>
      </c>
      <c r="B14">
        <f t="shared" si="6"/>
        <v>16200</v>
      </c>
      <c r="C14">
        <v>0.29899999999999999</v>
      </c>
      <c r="D14">
        <v>8.9099999999999999E-2</v>
      </c>
      <c r="F14">
        <v>270</v>
      </c>
      <c r="G14">
        <v>0.30909999999999999</v>
      </c>
      <c r="H14">
        <v>9.2899999999999996E-2</v>
      </c>
      <c r="J14">
        <v>270</v>
      </c>
      <c r="K14">
        <v>0.29480000000000001</v>
      </c>
      <c r="L14">
        <v>8.5300000000000001E-2</v>
      </c>
      <c r="N14">
        <v>270</v>
      </c>
      <c r="O14">
        <f t="shared" si="7"/>
        <v>0.30096666666666666</v>
      </c>
      <c r="P14">
        <f t="shared" si="7"/>
        <v>8.9099999999999999E-2</v>
      </c>
      <c r="Q14">
        <f t="shared" si="8"/>
        <v>6.0012961562945274E-3</v>
      </c>
      <c r="R14">
        <f t="shared" si="0"/>
        <v>3.1026870075253569E-3</v>
      </c>
      <c r="T14" t="s">
        <v>92</v>
      </c>
      <c r="U14" s="9" t="s">
        <v>91</v>
      </c>
      <c r="V14" s="9"/>
      <c r="Y14">
        <v>270</v>
      </c>
      <c r="Z14">
        <f t="shared" si="9"/>
        <v>4.8739946559882771E-5</v>
      </c>
      <c r="AA14">
        <f t="shared" si="10"/>
        <v>1.3436106599160829E-5</v>
      </c>
      <c r="AC14">
        <f t="shared" si="11"/>
        <v>5.0090490896176888E-5</v>
      </c>
      <c r="AD14">
        <f t="shared" si="12"/>
        <v>1.4027342990753471E-5</v>
      </c>
      <c r="AF14">
        <f t="shared" si="13"/>
        <v>4.9009369000541187E-5</v>
      </c>
      <c r="AG14">
        <f t="shared" si="14"/>
        <v>1.2804371038144367E-5</v>
      </c>
      <c r="AH14">
        <f t="shared" si="15"/>
        <v>6.2702542361553181E-5</v>
      </c>
      <c r="AI14">
        <f t="shared" si="16"/>
        <v>4.9279935485533622E-5</v>
      </c>
      <c r="AJ14">
        <f t="shared" si="17"/>
        <v>1.3422606876019557E-5</v>
      </c>
      <c r="AK14">
        <f t="shared" si="18"/>
        <v>0.99993729745763849</v>
      </c>
      <c r="AL14">
        <f t="shared" si="19"/>
        <v>24.369973279941384</v>
      </c>
      <c r="AM14">
        <f t="shared" si="20"/>
        <v>6.7180532995804141</v>
      </c>
      <c r="AN14">
        <f t="shared" si="21"/>
        <v>0.56034520429379375</v>
      </c>
      <c r="AO14">
        <f t="shared" si="22"/>
        <v>0.36042992111059685</v>
      </c>
      <c r="AP14">
        <f t="shared" si="23"/>
        <v>25.045245448088444</v>
      </c>
      <c r="AQ14">
        <f t="shared" si="24"/>
        <v>7.0136714953767356</v>
      </c>
      <c r="AR14">
        <f t="shared" si="25"/>
        <v>0.57587191483498756</v>
      </c>
      <c r="AS14">
        <f t="shared" si="26"/>
        <v>0.37629011724753131</v>
      </c>
      <c r="AT14">
        <f t="shared" si="27"/>
        <v>24.504684500270592</v>
      </c>
      <c r="AU14">
        <f t="shared" si="28"/>
        <v>6.4021855190721837</v>
      </c>
      <c r="AV14">
        <f t="shared" si="29"/>
        <v>0.56344265480836475</v>
      </c>
      <c r="AW14">
        <f t="shared" si="30"/>
        <v>0.34348331557874262</v>
      </c>
      <c r="AX14">
        <f t="shared" si="31"/>
        <v>0.56655325797904865</v>
      </c>
      <c r="AY14">
        <f t="shared" si="32"/>
        <v>0.36006778464562356</v>
      </c>
      <c r="AZ14">
        <f t="shared" si="33"/>
        <v>6.7095242812788888E-3</v>
      </c>
      <c r="BA14">
        <f t="shared" si="34"/>
        <v>1.3395768387772226E-2</v>
      </c>
      <c r="BB14">
        <f t="shared" si="1"/>
        <v>5.8360784103419861E-7</v>
      </c>
      <c r="BC14">
        <f t="shared" si="2"/>
        <v>4.9936745395937305E-7</v>
      </c>
      <c r="BD14" t="str">
        <v>Local funcId 1690017899200 not found</v>
      </c>
      <c r="BE14" t="e">
        <f t="shared" si="3"/>
        <v>#VALUE!</v>
      </c>
      <c r="BF14" t="e">
        <f t="shared" si="4"/>
        <v>#VALUE!</v>
      </c>
      <c r="BG14" t="e">
        <f t="shared" si="5"/>
        <v>#VALUE!</v>
      </c>
      <c r="BH14" t="str">
        <f t="shared" si="35"/>
        <v>Local funcId 1690017901696 not found</v>
      </c>
      <c r="BJ14" t="s">
        <v>72</v>
      </c>
      <c r="BK14" s="10">
        <f>BK13*0.000000000001</f>
        <v>4.7301393063961889E-10</v>
      </c>
      <c r="BW14">
        <v>0.5</v>
      </c>
      <c r="BX14">
        <f>Sorptionsmessungen!AI15</f>
        <v>-11.732385225329208</v>
      </c>
      <c r="BY14" t="e">
        <f>Sorptionsmessungen!AI19</f>
        <v>#DIV/0!</v>
      </c>
    </row>
    <row r="15" spans="1:77" x14ac:dyDescent="0.25">
      <c r="A15">
        <v>300</v>
      </c>
      <c r="B15">
        <f t="shared" si="6"/>
        <v>18000</v>
      </c>
      <c r="C15">
        <v>0.31109999999999999</v>
      </c>
      <c r="D15">
        <v>9.8199999999999996E-2</v>
      </c>
      <c r="F15">
        <v>300</v>
      </c>
      <c r="G15">
        <v>0.32629999999999998</v>
      </c>
      <c r="H15">
        <v>0.10100000000000001</v>
      </c>
      <c r="J15">
        <v>300</v>
      </c>
      <c r="K15">
        <v>0.32</v>
      </c>
      <c r="L15">
        <v>9.5500000000000002E-2</v>
      </c>
      <c r="N15">
        <v>300</v>
      </c>
      <c r="O15">
        <f t="shared" si="7"/>
        <v>0.31913333333333332</v>
      </c>
      <c r="P15">
        <f t="shared" si="7"/>
        <v>9.8233333333333325E-2</v>
      </c>
      <c r="Q15">
        <f t="shared" si="8"/>
        <v>6.235561099229338E-3</v>
      </c>
      <c r="R15">
        <f t="shared" si="0"/>
        <v>2.2454893057465741E-3</v>
      </c>
      <c r="T15">
        <v>0.3</v>
      </c>
      <c r="U15" t="str">
        <f t="array" ref="U15">get_lnphi_fun(1,T15,$T$12)</f>
        <v>Local funcId 1690017896704 not found</v>
      </c>
      <c r="Y15">
        <v>300</v>
      </c>
      <c r="Z15">
        <f t="shared" si="9"/>
        <v>4.865545286453045E-5</v>
      </c>
      <c r="AA15">
        <f t="shared" si="10"/>
        <v>1.4934929467860423E-5</v>
      </c>
      <c r="AC15">
        <f t="shared" si="11"/>
        <v>5.1780680920736498E-5</v>
      </c>
      <c r="AD15">
        <f t="shared" si="12"/>
        <v>1.5317325082244746E-5</v>
      </c>
      <c r="AF15">
        <f t="shared" si="13"/>
        <v>5.2109939890706441E-5</v>
      </c>
      <c r="AG15">
        <f t="shared" si="14"/>
        <v>1.4404488344837604E-5</v>
      </c>
      <c r="AH15">
        <f t="shared" si="15"/>
        <v>6.5734272190305388E-5</v>
      </c>
      <c r="AI15">
        <f t="shared" si="16"/>
        <v>5.0848691225324468E-5</v>
      </c>
      <c r="AJ15">
        <f t="shared" si="17"/>
        <v>1.4885580964980925E-5</v>
      </c>
      <c r="AK15">
        <f t="shared" si="18"/>
        <v>0.99993426572780975</v>
      </c>
      <c r="AL15">
        <f t="shared" si="19"/>
        <v>24.327726432265226</v>
      </c>
      <c r="AM15">
        <f t="shared" si="20"/>
        <v>7.4674647339302114</v>
      </c>
      <c r="AN15">
        <f t="shared" si="21"/>
        <v>0.55937381141535547</v>
      </c>
      <c r="AO15">
        <f t="shared" si="22"/>
        <v>0.40063655421053768</v>
      </c>
      <c r="AP15">
        <f t="shared" si="23"/>
        <v>25.89034046036825</v>
      </c>
      <c r="AQ15">
        <f t="shared" si="24"/>
        <v>7.6586625411223732</v>
      </c>
      <c r="AR15">
        <f t="shared" si="25"/>
        <v>0.59530340669030946</v>
      </c>
      <c r="AS15">
        <f t="shared" si="26"/>
        <v>0.4108944976190983</v>
      </c>
      <c r="AT15">
        <f t="shared" si="27"/>
        <v>26.054969945353221</v>
      </c>
      <c r="AU15">
        <f t="shared" si="28"/>
        <v>7.2022441724188022</v>
      </c>
      <c r="AV15">
        <f t="shared" si="29"/>
        <v>0.59908877573183472</v>
      </c>
      <c r="AW15">
        <f t="shared" si="30"/>
        <v>0.38640721993770066</v>
      </c>
      <c r="AX15">
        <f t="shared" si="31"/>
        <v>0.58458866461249992</v>
      </c>
      <c r="AY15">
        <f t="shared" si="32"/>
        <v>0.39931275725577886</v>
      </c>
      <c r="AZ15">
        <f t="shared" si="33"/>
        <v>1.7896440447014265E-2</v>
      </c>
      <c r="BA15">
        <f t="shared" si="34"/>
        <v>1.0040618202897674E-2</v>
      </c>
      <c r="BB15">
        <f t="shared" si="1"/>
        <v>1.5566681829621933E-6</v>
      </c>
      <c r="BC15">
        <f t="shared" si="2"/>
        <v>3.7429416536761999E-7</v>
      </c>
      <c r="BD15" t="str">
        <v>Local funcId 1690017899200 not found</v>
      </c>
      <c r="BE15" t="e">
        <f t="shared" si="3"/>
        <v>#VALUE!</v>
      </c>
      <c r="BF15" t="e">
        <f t="shared" si="4"/>
        <v>#VALUE!</v>
      </c>
      <c r="BG15" t="e">
        <f t="shared" si="5"/>
        <v>#VALUE!</v>
      </c>
      <c r="BH15" t="str">
        <f t="shared" si="35"/>
        <v>Local funcId 1690017901696 not found</v>
      </c>
      <c r="BJ15" t="s">
        <v>75</v>
      </c>
      <c r="BK15">
        <v>0.5</v>
      </c>
      <c r="BW15">
        <v>0.7</v>
      </c>
      <c r="BX15">
        <f>Sorptionsmessungen!AI16</f>
        <v>-11.684042259632417</v>
      </c>
      <c r="BY15" t="e">
        <f>Sorptionsmessungen!AI20</f>
        <v>#DIV/0!</v>
      </c>
    </row>
    <row r="16" spans="1:77" x14ac:dyDescent="0.25">
      <c r="T16">
        <v>0.5</v>
      </c>
      <c r="U16" t="str">
        <f t="array" ref="U16">get_lnphi_fun(1,T16,$T$12)</f>
        <v>Local funcId 1690017896704 not found</v>
      </c>
      <c r="BF16" t="s">
        <v>79</v>
      </c>
      <c r="BG16" t="e">
        <f>SUM(BG4:BG15)</f>
        <v>#VALUE!</v>
      </c>
      <c r="BW16" t="s">
        <v>92</v>
      </c>
      <c r="BX16" t="s">
        <v>131</v>
      </c>
      <c r="BY16" t="s">
        <v>132</v>
      </c>
    </row>
    <row r="17" spans="1:77" x14ac:dyDescent="0.25">
      <c r="A17" s="14" t="s">
        <v>6</v>
      </c>
      <c r="B17" s="14"/>
      <c r="C17" s="14"/>
      <c r="D17" s="14"/>
      <c r="F17" s="14" t="s">
        <v>7</v>
      </c>
      <c r="G17" s="14"/>
      <c r="H17" s="14"/>
      <c r="J17" s="14" t="s">
        <v>8</v>
      </c>
      <c r="K17" s="14"/>
      <c r="L17" s="14"/>
      <c r="N17" s="18" t="s">
        <v>18</v>
      </c>
      <c r="O17" s="18"/>
      <c r="P17" s="18"/>
      <c r="T17">
        <v>0.7</v>
      </c>
      <c r="U17" t="str">
        <f t="array" ref="U17">get_lnphi_fun(1,T17,$T$12)</f>
        <v>Local funcId 1690017896704 not found</v>
      </c>
      <c r="BV17" t="s">
        <v>104</v>
      </c>
      <c r="BW17">
        <v>0.3</v>
      </c>
      <c r="BX17">
        <f>LOG10(BJ4)</f>
        <v>-9.3251260687530415</v>
      </c>
      <c r="BY17" t="e">
        <f>LOG10(BK4)</f>
        <v>#DIV/0!</v>
      </c>
    </row>
    <row r="18" spans="1:77" ht="18" x14ac:dyDescent="0.35">
      <c r="A18" t="s">
        <v>0</v>
      </c>
      <c r="C18" t="s">
        <v>1</v>
      </c>
      <c r="D18" t="s">
        <v>2</v>
      </c>
      <c r="F18" t="s">
        <v>0</v>
      </c>
      <c r="G18" t="s">
        <v>1</v>
      </c>
      <c r="H18" t="s">
        <v>2</v>
      </c>
      <c r="J18" t="s">
        <v>0</v>
      </c>
      <c r="K18" t="s">
        <v>1</v>
      </c>
      <c r="L18" t="s">
        <v>2</v>
      </c>
      <c r="N18" t="s">
        <v>0</v>
      </c>
      <c r="O18" t="s">
        <v>1</v>
      </c>
      <c r="P18" t="s">
        <v>2</v>
      </c>
      <c r="Q18" t="s">
        <v>16</v>
      </c>
      <c r="R18" t="s">
        <v>17</v>
      </c>
      <c r="Y18" t="s">
        <v>0</v>
      </c>
      <c r="Z18" s="5" t="s">
        <v>47</v>
      </c>
      <c r="AA18" s="5" t="s">
        <v>48</v>
      </c>
      <c r="AB18" s="3"/>
      <c r="AC18" s="5" t="s">
        <v>49</v>
      </c>
      <c r="AD18" s="5" t="s">
        <v>50</v>
      </c>
      <c r="AF18" s="5" t="s">
        <v>51</v>
      </c>
      <c r="AG18" s="5" t="s">
        <v>52</v>
      </c>
      <c r="AH18" s="5" t="s">
        <v>81</v>
      </c>
      <c r="AI18" s="5" t="s">
        <v>32</v>
      </c>
      <c r="AJ18" s="5" t="s">
        <v>33</v>
      </c>
      <c r="AK18" s="5" t="s">
        <v>107</v>
      </c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 t="s">
        <v>54</v>
      </c>
      <c r="BC18" s="5" t="s">
        <v>55</v>
      </c>
      <c r="BD18" s="5" t="s">
        <v>68</v>
      </c>
      <c r="BE18" s="5" t="s">
        <v>76</v>
      </c>
      <c r="BF18" s="5" t="s">
        <v>77</v>
      </c>
      <c r="BG18" s="5" t="s">
        <v>78</v>
      </c>
      <c r="BH18" s="5" t="s">
        <v>111</v>
      </c>
      <c r="BI18" s="5" t="s">
        <v>122</v>
      </c>
      <c r="BJ18" s="5" t="s">
        <v>85</v>
      </c>
      <c r="BK18" s="5" t="s">
        <v>124</v>
      </c>
      <c r="BW18">
        <v>0.5</v>
      </c>
      <c r="BX18">
        <f>LOG10(BJ34)</f>
        <v>-10.174295900361212</v>
      </c>
      <c r="BY18" t="e">
        <f>LOG10(BK34)</f>
        <v>#DIV/0!</v>
      </c>
    </row>
    <row r="19" spans="1:77" x14ac:dyDescent="0.25">
      <c r="A19">
        <v>5</v>
      </c>
      <c r="B19">
        <f>A19*60</f>
        <v>300</v>
      </c>
      <c r="C19">
        <v>1.06E-2</v>
      </c>
      <c r="D19">
        <v>2.5000000000000001E-3</v>
      </c>
      <c r="F19">
        <v>5</v>
      </c>
      <c r="G19">
        <v>1.0800000000000001E-2</v>
      </c>
      <c r="H19">
        <v>2.7000000000000001E-3</v>
      </c>
      <c r="J19">
        <v>5</v>
      </c>
      <c r="K19">
        <v>1.5599999999999999E-2</v>
      </c>
      <c r="L19">
        <v>2.0999999999999999E-3</v>
      </c>
      <c r="N19">
        <v>5</v>
      </c>
      <c r="O19">
        <f>(C19+G19+K19)/3</f>
        <v>1.2333333333333335E-2</v>
      </c>
      <c r="P19">
        <f>(D19+H19+L19)/3</f>
        <v>2.4333333333333329E-3</v>
      </c>
      <c r="Q19">
        <f t="shared" ref="Q19:Q30" si="36">_xlfn.STDEV.P(C19,G19,K19)</f>
        <v>2.3113247764479615E-3</v>
      </c>
      <c r="R19">
        <f t="shared" ref="R19:R30" si="37">_xlfn.STDEV.P(D19,H19,L19)</f>
        <v>2.4944382578492955E-4</v>
      </c>
      <c r="T19" t="s">
        <v>136</v>
      </c>
      <c r="U19" t="s">
        <v>137</v>
      </c>
      <c r="V19" t="s">
        <v>138</v>
      </c>
      <c r="Y19">
        <v>5</v>
      </c>
      <c r="Z19">
        <f>((C19*$U$7)-(D19*$U$6))/(($U$7*$U$4)-($U$6*$U$5))</f>
        <v>1.974515147989962E-6</v>
      </c>
      <c r="AA19">
        <f>((D19*$U$4)-(C19*$U$5))/(($U$7*$U$4)-($U$6*$U$5))</f>
        <v>3.6182133182656673E-7</v>
      </c>
      <c r="AC19">
        <f>((G19*$U$7)-(H19*$U$6))/(($U$7*$U$4)-($U$6*$U$5))</f>
        <v>1.9545545850045412E-6</v>
      </c>
      <c r="AD19">
        <f>((H19*$U$4)-(G19*$U$5))/(($U$7*$U$4)-($U$6*$U$5))</f>
        <v>3.9521508274330758E-7</v>
      </c>
      <c r="AF19">
        <f>((K19*$U$7)-(L19*$U$6))/(($U$7*$U$4)-($U$6*$U$5))</f>
        <v>3.4971177308326208E-6</v>
      </c>
      <c r="AG19">
        <f>((L19*$U$4)-(K19*$U$5))/(($U$7*$U$4)-($U$6*$U$5))</f>
        <v>2.5796679357128972E-7</v>
      </c>
      <c r="AH19">
        <f t="shared" si="15"/>
        <v>2.8137302239894292E-6</v>
      </c>
      <c r="AI19">
        <f>(Z19+AC19+AF19)/3</f>
        <v>2.475395821275708E-6</v>
      </c>
      <c r="AJ19">
        <f>(AA19+AD19+AG19)/3</f>
        <v>3.3833440271372131E-7</v>
      </c>
      <c r="AK19">
        <f t="shared" si="18"/>
        <v>0.99999718626977596</v>
      </c>
      <c r="AL19">
        <f>Z19*500000</f>
        <v>0.98725757399498104</v>
      </c>
      <c r="AM19">
        <f>AA19*500000</f>
        <v>0.18091066591328336</v>
      </c>
      <c r="AN19">
        <f>AL19/$U$25</f>
        <v>9.0815709133932582E-2</v>
      </c>
      <c r="AO19">
        <f>AM19/$V$25</f>
        <v>3.8830364008002438E-2</v>
      </c>
      <c r="AP19">
        <f>AC19*500000</f>
        <v>0.97727729250227058</v>
      </c>
      <c r="AQ19">
        <f>AD19*500000</f>
        <v>0.19760754137165379</v>
      </c>
      <c r="AR19">
        <f>AP19/$U$25</f>
        <v>8.9897644421145312E-2</v>
      </c>
      <c r="AS19">
        <f>AQ19/$V$25</f>
        <v>4.241415354618025E-2</v>
      </c>
      <c r="AT19">
        <f>AF19*500000</f>
        <v>1.7485588654163104</v>
      </c>
      <c r="AU19">
        <f>AG19*500000</f>
        <v>0.12898339678564485</v>
      </c>
      <c r="AV19">
        <f>AT19/$U$25</f>
        <v>0.16084618392202288</v>
      </c>
      <c r="AW19">
        <f>AU19/$V$25</f>
        <v>2.7684781452166744E-2</v>
      </c>
      <c r="AX19">
        <f>(AN19+AR19+AV19)/3</f>
        <v>0.11385317915903359</v>
      </c>
      <c r="AY19">
        <f>(AO19+AS19+AW19)/3</f>
        <v>3.6309766335449807E-2</v>
      </c>
      <c r="AZ19">
        <f>_xlfn.STDEV.P(AN19,AR19,AV19)</f>
        <v>3.3231185987412148E-2</v>
      </c>
      <c r="BA19">
        <f>_xlfn.STDEV.P(AO19,AS19,AW19)</f>
        <v>6.271823766716993E-3</v>
      </c>
      <c r="BB19">
        <f t="shared" ref="BB19:BB30" si="38">_xlfn.STDEV.P(Z19,AC19,AF19)</f>
        <v>7.2251244573831479E-7</v>
      </c>
      <c r="BC19">
        <f t="shared" ref="BC19:BC30" si="39">_xlfn.STDEV.P(AA19,AD19,AG19)</f>
        <v>5.8440853858268975E-8</v>
      </c>
      <c r="BD19" t="str">
        <f t="array" ref="BD19:BD30">Diffusion1D_xl(B19:B30,BK24,BK29,BK22,BK23)</f>
        <v>Local funcId 1690017899200 not found</v>
      </c>
      <c r="BE19" t="e">
        <f>BD19/(1-BD19)*($BK$26)</f>
        <v>#VALUE!</v>
      </c>
      <c r="BF19" t="e">
        <f>BE19/$BK$30</f>
        <v>#VALUE!</v>
      </c>
      <c r="BG19" t="e">
        <f t="shared" ref="BG19:BG30" si="40">(1-BF19/AH19)^2</f>
        <v>#VALUE!</v>
      </c>
      <c r="BH19" t="str">
        <f t="shared" ref="BH19:BH30" si="41">ev_THFaktor($U$15,BD19)</f>
        <v>Local funcId 1690017901696 not found</v>
      </c>
      <c r="BI19" t="e">
        <f>AVERAGE(BH19:BH30)</f>
        <v>#DIV/0!</v>
      </c>
      <c r="BJ19" s="10">
        <f>BK29</f>
        <v>3.0286095838387692E-10</v>
      </c>
      <c r="BK19" s="10" t="e">
        <f>BJ19/BI19</f>
        <v>#DIV/0!</v>
      </c>
      <c r="BW19">
        <v>0.7</v>
      </c>
      <c r="BX19" s="11">
        <f>LOG10(BJ64)</f>
        <v>-10.39990473131855</v>
      </c>
      <c r="BY19" s="11" t="e">
        <f>LOG10(BK64)</f>
        <v>#DIV/0!</v>
      </c>
    </row>
    <row r="20" spans="1:77" x14ac:dyDescent="0.25">
      <c r="A20">
        <v>15</v>
      </c>
      <c r="B20">
        <f t="shared" ref="B20:B30" si="42">A20*60</f>
        <v>900</v>
      </c>
      <c r="C20">
        <v>2.6599999999999999E-2</v>
      </c>
      <c r="D20">
        <v>5.1000000000000004E-3</v>
      </c>
      <c r="F20">
        <v>15</v>
      </c>
      <c r="G20">
        <v>2.5899999999999999E-2</v>
      </c>
      <c r="H20">
        <v>5.3E-3</v>
      </c>
      <c r="J20">
        <v>15</v>
      </c>
      <c r="K20">
        <v>3.2199999999999999E-2</v>
      </c>
      <c r="L20">
        <v>5.4999999999999997E-3</v>
      </c>
      <c r="N20">
        <v>15</v>
      </c>
      <c r="O20">
        <f t="shared" ref="O20:O30" si="43">(C20+G20+K20)/3</f>
        <v>2.8233333333333333E-2</v>
      </c>
      <c r="P20">
        <f t="shared" ref="P20:P30" si="44">(D20+H20+L20)/3</f>
        <v>5.2999999999999992E-3</v>
      </c>
      <c r="Q20">
        <f t="shared" si="36"/>
        <v>2.8193773938387338E-3</v>
      </c>
      <c r="R20">
        <f t="shared" si="37"/>
        <v>1.6329931618554495E-4</v>
      </c>
      <c r="T20">
        <v>0.3</v>
      </c>
      <c r="U20">
        <f>(1-T20)*62.13</f>
        <v>43.491</v>
      </c>
      <c r="V20">
        <f>T20*62.13</f>
        <v>18.638999999999999</v>
      </c>
      <c r="Y20">
        <v>15</v>
      </c>
      <c r="Z20">
        <f>((C20*$U$7)-(D20*$U$6))/(($U$7*$U$4)-($U$6*$U$5))</f>
        <v>5.3942744073428851E-6</v>
      </c>
      <c r="AA20">
        <f t="shared" ref="AA20:AA30" si="45">((D20*$U$4)-(C20*$U$5))/(($U$7*$U$4)-($U$6*$U$5))</f>
        <v>7.0395892929011222E-7</v>
      </c>
      <c r="AC20">
        <f t="shared" ref="AC20:AC30" si="46">((G20*$U$7)-(H20*$U$6))/(($U$7*$U$4)-($U$6*$U$5))</f>
        <v>5.1272002682121626E-6</v>
      </c>
      <c r="AD20">
        <f t="shared" ref="AD20:AD30" si="47">((H20*$U$4)-(G20*$U$5))/(($U$7*$U$4)-($U$6*$U$5))</f>
        <v>7.4353051961048536E-7</v>
      </c>
      <c r="AF20">
        <f t="shared" ref="AF20:AF30" si="48">((K20*$U$7)-(L20*$U$6))/(($U$7*$U$4)-($U$6*$U$5))</f>
        <v>6.7821206102115717E-6</v>
      </c>
      <c r="AG20">
        <f t="shared" ref="AG20:AG30" si="49">((L20*$U$4)-(K20*$U$5))/(($U$7*$U$4)-($U$6*$U$5))</f>
        <v>7.3505224790260546E-7</v>
      </c>
      <c r="AH20">
        <f t="shared" si="15"/>
        <v>6.4953789941899399E-6</v>
      </c>
      <c r="AI20">
        <f t="shared" ref="AI20:AI30" si="50">(Z20+AC20+AF20)/3</f>
        <v>5.7678650952555392E-6</v>
      </c>
      <c r="AJ20">
        <f t="shared" ref="AJ20:AJ30" si="51">(AA20+AD20+AG20)/3</f>
        <v>7.2751389893440105E-7</v>
      </c>
      <c r="AK20">
        <f t="shared" si="18"/>
        <v>0.99999350462100589</v>
      </c>
      <c r="AL20">
        <f t="shared" ref="AL20:AL30" si="52">Z20*500000</f>
        <v>2.6971372036714425</v>
      </c>
      <c r="AM20">
        <f t="shared" ref="AM20:AM30" si="53">AA20*500000</f>
        <v>0.35197946464505608</v>
      </c>
      <c r="AN20">
        <f t="shared" ref="AN20:AN30" si="54">AL20/$U$25</f>
        <v>0.24810387302653325</v>
      </c>
      <c r="AO20">
        <f t="shared" ref="AO20:AO30" si="55">AM20/$V$25</f>
        <v>7.5548286036715193E-2</v>
      </c>
      <c r="AP20">
        <f t="shared" ref="AP20:AP30" si="56">AC20*500000</f>
        <v>2.5636001341060815</v>
      </c>
      <c r="AQ20">
        <f t="shared" ref="AQ20:AQ30" si="57">AD20*500000</f>
        <v>0.37176525980524266</v>
      </c>
      <c r="AR20">
        <f t="shared" ref="AR20:AR30" si="58">AP20/$U$25</f>
        <v>0.23582008408666008</v>
      </c>
      <c r="AS20">
        <f t="shared" ref="AS20:AS30" si="59">AQ20/$V$25</f>
        <v>7.9795076154806327E-2</v>
      </c>
      <c r="AT20">
        <f t="shared" ref="AT20:AT30" si="60">AF20*500000</f>
        <v>3.3910603051057859</v>
      </c>
      <c r="AU20">
        <f t="shared" ref="AU20:AU30" si="61">AG20*500000</f>
        <v>0.36752612395130274</v>
      </c>
      <c r="AV20">
        <f t="shared" ref="AV20:AV30" si="62">AT20/$U$25</f>
        <v>0.31193637246856648</v>
      </c>
      <c r="AW20">
        <f t="shared" ref="AW20:AW30" si="63">AU20/$V$25</f>
        <v>7.8885195095793684E-2</v>
      </c>
      <c r="AX20">
        <f t="shared" ref="AX20:AX30" si="64">(AN20+AR20+AV20)/3</f>
        <v>0.2652867765272533</v>
      </c>
      <c r="AY20">
        <f t="shared" ref="AY20:AY30" si="65">(AO20+AS20+AW20)/3</f>
        <v>7.8076185762438396E-2</v>
      </c>
      <c r="AZ20">
        <f t="shared" ref="AZ20:AZ30" si="66">_xlfn.STDEV.P(AN20,AR20,AV20)</f>
        <v>3.3365266059138643E-2</v>
      </c>
      <c r="BA20">
        <f t="shared" ref="BA20:BA30" si="67">_xlfn.STDEV.P(AO20,AS20,AW20)</f>
        <v>1.8256831877174267E-3</v>
      </c>
      <c r="BB20">
        <f t="shared" si="38"/>
        <v>7.2542761465779539E-7</v>
      </c>
      <c r="BC20">
        <f t="shared" si="39"/>
        <v>1.7011715943150946E-8</v>
      </c>
      <c r="BD20" t="str">
        <v>Local funcId 1690017899200 not found</v>
      </c>
      <c r="BE20" t="e">
        <f t="shared" ref="BE20:BE30" si="68">BD20/(1-BD20)*($BK$26)</f>
        <v>#VALUE!</v>
      </c>
      <c r="BF20" t="e">
        <f t="shared" ref="BF20:BF30" si="69">BE20/$BK$15</f>
        <v>#VALUE!</v>
      </c>
      <c r="BG20" t="e">
        <f t="shared" si="40"/>
        <v>#VALUE!</v>
      </c>
      <c r="BH20" t="str">
        <f t="shared" si="41"/>
        <v>Local funcId 1690017901696 not found</v>
      </c>
    </row>
    <row r="21" spans="1:77" x14ac:dyDescent="0.25">
      <c r="A21">
        <v>30</v>
      </c>
      <c r="B21">
        <f t="shared" si="42"/>
        <v>1800</v>
      </c>
      <c r="C21">
        <v>4.3499999999999997E-2</v>
      </c>
      <c r="D21">
        <v>6.4000000000000003E-3</v>
      </c>
      <c r="F21">
        <v>30</v>
      </c>
      <c r="G21">
        <v>4.6800000000000001E-2</v>
      </c>
      <c r="H21">
        <v>9.1999999999999998E-3</v>
      </c>
      <c r="J21">
        <v>30</v>
      </c>
      <c r="K21">
        <v>5.1700000000000003E-2</v>
      </c>
      <c r="L21">
        <v>9.5999999999999992E-3</v>
      </c>
      <c r="N21">
        <v>30</v>
      </c>
      <c r="O21">
        <f t="shared" si="43"/>
        <v>4.7333333333333331E-2</v>
      </c>
      <c r="P21">
        <f t="shared" si="44"/>
        <v>8.3999999999999995E-3</v>
      </c>
      <c r="Q21">
        <f t="shared" si="36"/>
        <v>3.3688111981660393E-3</v>
      </c>
      <c r="R21">
        <f t="shared" si="37"/>
        <v>1.4236104336041743E-3</v>
      </c>
      <c r="T21">
        <v>0.5</v>
      </c>
      <c r="U21">
        <f>T21*63.3</f>
        <v>31.65</v>
      </c>
      <c r="V21">
        <f>T21*63.3</f>
        <v>31.65</v>
      </c>
      <c r="Y21">
        <v>30</v>
      </c>
      <c r="Z21">
        <f t="shared" ref="Z21:Z30" si="70">((C21*$U$7)-(D21*$U$6))/(($U$7*$U$4)-($U$6*$U$5))</f>
        <v>9.5478327344562287E-6</v>
      </c>
      <c r="AA21">
        <f t="shared" si="45"/>
        <v>8.1393576058596285E-7</v>
      </c>
      <c r="AC21">
        <f t="shared" si="46"/>
        <v>9.40567017274106E-6</v>
      </c>
      <c r="AD21">
        <f t="shared" si="47"/>
        <v>1.2780161404183159E-6</v>
      </c>
      <c r="AF21">
        <f t="shared" si="48"/>
        <v>1.0601316927496732E-5</v>
      </c>
      <c r="AG21">
        <f t="shared" si="49"/>
        <v>1.3139144452336344E-6</v>
      </c>
      <c r="AH21">
        <f t="shared" si="15"/>
        <v>1.0986895393643979E-5</v>
      </c>
      <c r="AI21">
        <f t="shared" si="50"/>
        <v>9.8516066115646747E-6</v>
      </c>
      <c r="AJ21">
        <f t="shared" si="51"/>
        <v>1.1352887820793044E-6</v>
      </c>
      <c r="AK21">
        <f t="shared" si="18"/>
        <v>0.99998901310460631</v>
      </c>
      <c r="AL21">
        <f t="shared" si="52"/>
        <v>4.7739163672281144</v>
      </c>
      <c r="AM21">
        <f t="shared" si="53"/>
        <v>0.40696788029298142</v>
      </c>
      <c r="AN21">
        <f t="shared" si="54"/>
        <v>0.43914233899623906</v>
      </c>
      <c r="AO21">
        <f t="shared" si="55"/>
        <v>8.7350907983039586E-2</v>
      </c>
      <c r="AP21">
        <f t="shared" si="56"/>
        <v>4.7028350863705297</v>
      </c>
      <c r="AQ21">
        <f t="shared" si="57"/>
        <v>0.63900807020915795</v>
      </c>
      <c r="AR21">
        <f t="shared" si="58"/>
        <v>0.43260372425448718</v>
      </c>
      <c r="AS21">
        <f t="shared" si="59"/>
        <v>0.13715562786202146</v>
      </c>
      <c r="AT21">
        <f t="shared" si="60"/>
        <v>5.3006584637483662</v>
      </c>
      <c r="AU21">
        <f t="shared" si="61"/>
        <v>0.65695722261681722</v>
      </c>
      <c r="AV21">
        <f t="shared" si="62"/>
        <v>0.48759621596434244</v>
      </c>
      <c r="AW21">
        <f t="shared" si="63"/>
        <v>0.14100820403881031</v>
      </c>
      <c r="AX21">
        <f t="shared" si="64"/>
        <v>0.45311409307168954</v>
      </c>
      <c r="AY21">
        <f t="shared" si="65"/>
        <v>0.12183824662795711</v>
      </c>
      <c r="AZ21">
        <f t="shared" si="66"/>
        <v>2.452822822889681E-2</v>
      </c>
      <c r="BA21">
        <f t="shared" si="67"/>
        <v>2.4436898069741614E-2</v>
      </c>
      <c r="BB21">
        <f t="shared" si="38"/>
        <v>5.3329273815267415E-7</v>
      </c>
      <c r="BC21">
        <f t="shared" si="39"/>
        <v>2.2770301621385167E-7</v>
      </c>
      <c r="BD21" t="str">
        <v>Local funcId 1690017899200 not found</v>
      </c>
      <c r="BE21" t="e">
        <f t="shared" si="68"/>
        <v>#VALUE!</v>
      </c>
      <c r="BF21" t="e">
        <f t="shared" si="69"/>
        <v>#VALUE!</v>
      </c>
      <c r="BG21" t="e">
        <f t="shared" si="40"/>
        <v>#VALUE!</v>
      </c>
      <c r="BH21" t="str">
        <f t="shared" si="41"/>
        <v>Local funcId 1690017901696 not found</v>
      </c>
      <c r="BJ21" s="6" t="s">
        <v>69</v>
      </c>
      <c r="BK21" s="6"/>
    </row>
    <row r="22" spans="1:77" x14ac:dyDescent="0.25">
      <c r="A22">
        <v>60</v>
      </c>
      <c r="B22">
        <f t="shared" si="42"/>
        <v>3600</v>
      </c>
      <c r="C22">
        <v>6.7100000000000007E-2</v>
      </c>
      <c r="D22">
        <v>1.4800000000000001E-2</v>
      </c>
      <c r="F22">
        <v>60</v>
      </c>
      <c r="G22">
        <v>7.6899999999999996E-2</v>
      </c>
      <c r="H22">
        <v>1.67E-2</v>
      </c>
      <c r="J22">
        <v>60</v>
      </c>
      <c r="K22">
        <v>7.9100000000000004E-2</v>
      </c>
      <c r="L22">
        <v>1.6899999999999998E-2</v>
      </c>
      <c r="N22">
        <v>60</v>
      </c>
      <c r="O22">
        <f t="shared" si="43"/>
        <v>7.4366666666666678E-2</v>
      </c>
      <c r="P22">
        <f t="shared" si="44"/>
        <v>1.6133333333333333E-2</v>
      </c>
      <c r="Q22">
        <f t="shared" si="36"/>
        <v>5.2162140378716115E-3</v>
      </c>
      <c r="R22">
        <f t="shared" si="37"/>
        <v>9.463379711052251E-4</v>
      </c>
      <c r="T22">
        <v>0.7</v>
      </c>
      <c r="U22">
        <f>(1-T22)*64.54</f>
        <v>19.362000000000005</v>
      </c>
      <c r="V22">
        <f>T22*64.54</f>
        <v>45.178000000000004</v>
      </c>
      <c r="Y22">
        <v>60</v>
      </c>
      <c r="Z22">
        <f t="shared" si="70"/>
        <v>1.2882962819522552E-5</v>
      </c>
      <c r="AA22">
        <f t="shared" si="45"/>
        <v>2.112136455827726E-6</v>
      </c>
      <c r="AC22">
        <f t="shared" si="46"/>
        <v>1.4862445528436485E-5</v>
      </c>
      <c r="AD22">
        <f t="shared" si="47"/>
        <v>2.3751493881048774E-6</v>
      </c>
      <c r="AF22">
        <f t="shared" si="48"/>
        <v>1.539162624577396E-5</v>
      </c>
      <c r="AG22">
        <f t="shared" si="49"/>
        <v>2.3948146070135454E-6</v>
      </c>
      <c r="AH22">
        <f t="shared" si="15"/>
        <v>1.6673045014893046E-5</v>
      </c>
      <c r="AI22">
        <f t="shared" si="50"/>
        <v>1.437901153124433E-5</v>
      </c>
      <c r="AJ22">
        <f t="shared" si="51"/>
        <v>2.2940334836487163E-6</v>
      </c>
      <c r="AK22">
        <f t="shared" si="18"/>
        <v>0.99998332695498515</v>
      </c>
      <c r="AL22">
        <f t="shared" si="52"/>
        <v>6.441481409761276</v>
      </c>
      <c r="AM22">
        <f t="shared" si="53"/>
        <v>1.0560682279138629</v>
      </c>
      <c r="AN22">
        <f t="shared" si="54"/>
        <v>0.59253807467218078</v>
      </c>
      <c r="AO22">
        <f t="shared" si="55"/>
        <v>0.22667272545908199</v>
      </c>
      <c r="AP22">
        <f t="shared" si="56"/>
        <v>7.4312227642182425</v>
      </c>
      <c r="AQ22">
        <f t="shared" si="57"/>
        <v>1.1875746940524388</v>
      </c>
      <c r="AR22">
        <f t="shared" si="58"/>
        <v>0.68358226144956702</v>
      </c>
      <c r="AS22">
        <f t="shared" si="59"/>
        <v>0.25489905431475396</v>
      </c>
      <c r="AT22">
        <f t="shared" si="60"/>
        <v>7.6958131228869799</v>
      </c>
      <c r="AU22">
        <f t="shared" si="61"/>
        <v>1.1974073035067727</v>
      </c>
      <c r="AV22">
        <f t="shared" si="62"/>
        <v>0.70792136168585973</v>
      </c>
      <c r="AW22">
        <f t="shared" si="63"/>
        <v>0.2570095092309021</v>
      </c>
      <c r="AX22">
        <f t="shared" si="64"/>
        <v>0.66134723260253592</v>
      </c>
      <c r="AY22">
        <f t="shared" si="65"/>
        <v>0.24619376300157936</v>
      </c>
      <c r="AZ22">
        <f t="shared" si="66"/>
        <v>4.965966244610398E-2</v>
      </c>
      <c r="BA22">
        <f t="shared" si="67"/>
        <v>1.3830321399976383E-2</v>
      </c>
      <c r="BB22">
        <f t="shared" si="38"/>
        <v>1.079700380903193E-6</v>
      </c>
      <c r="BC22">
        <f t="shared" si="39"/>
        <v>1.2887093480497984E-7</v>
      </c>
      <c r="BD22" t="str">
        <v>Local funcId 1690017899200 not found</v>
      </c>
      <c r="BE22" t="e">
        <f t="shared" si="68"/>
        <v>#VALUE!</v>
      </c>
      <c r="BF22" t="e">
        <f t="shared" si="69"/>
        <v>#VALUE!</v>
      </c>
      <c r="BG22" t="e">
        <f t="shared" si="40"/>
        <v>#VALUE!</v>
      </c>
      <c r="BH22" t="str">
        <f t="shared" si="41"/>
        <v>Local funcId 1690017901696 not found</v>
      </c>
      <c r="BJ22" t="s">
        <v>70</v>
      </c>
      <c r="BK22" s="7">
        <v>1E-4</v>
      </c>
    </row>
    <row r="23" spans="1:77" x14ac:dyDescent="0.25">
      <c r="A23">
        <v>90</v>
      </c>
      <c r="B23">
        <f t="shared" si="42"/>
        <v>5400</v>
      </c>
      <c r="C23">
        <v>8.9300000000000004E-2</v>
      </c>
      <c r="D23">
        <v>2.1399999999999999E-2</v>
      </c>
      <c r="F23">
        <v>90</v>
      </c>
      <c r="G23">
        <v>9.3100000000000002E-2</v>
      </c>
      <c r="H23">
        <v>2.3E-2</v>
      </c>
      <c r="J23">
        <v>90</v>
      </c>
      <c r="K23">
        <v>8.4400000000000003E-2</v>
      </c>
      <c r="L23">
        <v>2.1499999999999998E-2</v>
      </c>
      <c r="N23">
        <v>90</v>
      </c>
      <c r="O23">
        <f t="shared" si="43"/>
        <v>8.893333333333335E-2</v>
      </c>
      <c r="P23">
        <f t="shared" si="44"/>
        <v>2.1966666666666662E-2</v>
      </c>
      <c r="Q23">
        <f t="shared" si="36"/>
        <v>3.56121078036982E-3</v>
      </c>
      <c r="R23">
        <f t="shared" si="37"/>
        <v>7.3181661333667207E-4</v>
      </c>
      <c r="Y23">
        <v>90</v>
      </c>
      <c r="Z23">
        <f t="shared" si="70"/>
        <v>1.6507566227522243E-5</v>
      </c>
      <c r="AA23">
        <f t="shared" si="45"/>
        <v>3.1070476864172074E-6</v>
      </c>
      <c r="AC23">
        <f t="shared" si="46"/>
        <v>1.6951937131994056E-5</v>
      </c>
      <c r="AD23">
        <f t="shared" si="47"/>
        <v>3.3590963085422539E-6</v>
      </c>
      <c r="AF23">
        <f t="shared" si="48"/>
        <v>1.5124732745222291E-5</v>
      </c>
      <c r="AG23">
        <f t="shared" si="49"/>
        <v>3.1580658918957584E-6</v>
      </c>
      <c r="AH23">
        <f t="shared" si="15"/>
        <v>1.9402815330531271E-5</v>
      </c>
      <c r="AI23">
        <f t="shared" si="50"/>
        <v>1.6194745368246197E-5</v>
      </c>
      <c r="AJ23">
        <f t="shared" si="51"/>
        <v>3.2080699622850735E-6</v>
      </c>
      <c r="AK23">
        <f t="shared" si="18"/>
        <v>0.99998059718466947</v>
      </c>
      <c r="AL23">
        <f t="shared" si="52"/>
        <v>8.2537831137611217</v>
      </c>
      <c r="AM23">
        <f t="shared" si="53"/>
        <v>1.5535238432086036</v>
      </c>
      <c r="AN23">
        <f t="shared" si="54"/>
        <v>0.75924782575302385</v>
      </c>
      <c r="AO23">
        <f t="shared" si="55"/>
        <v>0.33344577016711818</v>
      </c>
      <c r="AP23">
        <f t="shared" si="56"/>
        <v>8.4759685659970287</v>
      </c>
      <c r="AQ23">
        <f t="shared" si="57"/>
        <v>1.679548154271127</v>
      </c>
      <c r="AR23">
        <f t="shared" si="58"/>
        <v>0.77968618949471347</v>
      </c>
      <c r="AS23">
        <f t="shared" si="59"/>
        <v>0.36049541838830801</v>
      </c>
      <c r="AT23">
        <f t="shared" si="60"/>
        <v>7.5623663726111454</v>
      </c>
      <c r="AU23">
        <f t="shared" si="61"/>
        <v>1.5790329459478791</v>
      </c>
      <c r="AV23">
        <f t="shared" si="62"/>
        <v>0.69564588102393032</v>
      </c>
      <c r="AW23">
        <f t="shared" si="63"/>
        <v>0.33892100149128124</v>
      </c>
      <c r="AX23">
        <f t="shared" si="64"/>
        <v>0.74485996542388921</v>
      </c>
      <c r="AY23">
        <f t="shared" si="65"/>
        <v>0.34428739668223579</v>
      </c>
      <c r="AZ23">
        <f t="shared" si="66"/>
        <v>3.5785949343321057E-2</v>
      </c>
      <c r="BA23">
        <f t="shared" si="67"/>
        <v>1.1676743702238644E-2</v>
      </c>
      <c r="BB23">
        <f t="shared" si="38"/>
        <v>7.7805811062248578E-7</v>
      </c>
      <c r="BC23">
        <f t="shared" si="39"/>
        <v>1.0880389781745958E-7</v>
      </c>
      <c r="BD23" t="str">
        <v>Local funcId 1690017899200 not found</v>
      </c>
      <c r="BE23" t="e">
        <f t="shared" si="68"/>
        <v>#VALUE!</v>
      </c>
      <c r="BF23" t="e">
        <f t="shared" si="69"/>
        <v>#VALUE!</v>
      </c>
      <c r="BG23" t="e">
        <f t="shared" si="40"/>
        <v>#VALUE!</v>
      </c>
      <c r="BH23" t="str">
        <f t="shared" si="41"/>
        <v>Local funcId 1690017901696 not found</v>
      </c>
      <c r="BJ23" t="s">
        <v>118</v>
      </c>
      <c r="BK23">
        <f>1-BK26/($BK$30+BK26)</f>
        <v>0.99996893689678767</v>
      </c>
      <c r="BL23" s="7"/>
      <c r="BM23" s="7"/>
    </row>
    <row r="24" spans="1:77" x14ac:dyDescent="0.25">
      <c r="A24">
        <v>120</v>
      </c>
      <c r="B24">
        <f t="shared" si="42"/>
        <v>7200</v>
      </c>
      <c r="C24">
        <v>9.7500000000000003E-2</v>
      </c>
      <c r="D24">
        <v>2.69E-2</v>
      </c>
      <c r="F24">
        <v>120</v>
      </c>
      <c r="G24">
        <v>0.1032</v>
      </c>
      <c r="H24">
        <v>2.8299999999999999E-2</v>
      </c>
      <c r="J24">
        <v>120</v>
      </c>
      <c r="K24">
        <v>9.4700000000000006E-2</v>
      </c>
      <c r="L24">
        <v>2.7400000000000001E-2</v>
      </c>
      <c r="N24">
        <v>120</v>
      </c>
      <c r="O24">
        <f t="shared" si="43"/>
        <v>9.8466666666666661E-2</v>
      </c>
      <c r="P24">
        <f t="shared" si="44"/>
        <v>2.7533333333333337E-2</v>
      </c>
      <c r="Q24">
        <f t="shared" si="36"/>
        <v>3.5367907612536072E-3</v>
      </c>
      <c r="R24">
        <f t="shared" si="37"/>
        <v>5.7927157323275826E-4</v>
      </c>
      <c r="T24" t="s">
        <v>139</v>
      </c>
      <c r="Y24">
        <v>120</v>
      </c>
      <c r="Z24">
        <f t="shared" si="70"/>
        <v>1.6699991473859072E-5</v>
      </c>
      <c r="AA24">
        <f t="shared" si="45"/>
        <v>4.0068423184166808E-6</v>
      </c>
      <c r="AC24">
        <f t="shared" si="46"/>
        <v>1.7740921285655348E-5</v>
      </c>
      <c r="AD24">
        <f t="shared" si="47"/>
        <v>4.211082231016511E-6</v>
      </c>
      <c r="AF24">
        <f t="shared" si="48"/>
        <v>1.5744006953862742E-5</v>
      </c>
      <c r="AG24">
        <f t="shared" si="49"/>
        <v>4.1129787735218522E-6</v>
      </c>
      <c r="AH24">
        <f t="shared" si="15"/>
        <v>2.0838607678777401E-5</v>
      </c>
      <c r="AI24">
        <f t="shared" si="50"/>
        <v>1.6728306571125721E-5</v>
      </c>
      <c r="AJ24">
        <f t="shared" si="51"/>
        <v>4.110301107651681E-6</v>
      </c>
      <c r="AK24">
        <f t="shared" si="18"/>
        <v>0.99997916139232113</v>
      </c>
      <c r="AL24">
        <f t="shared" si="52"/>
        <v>8.3499957369295359</v>
      </c>
      <c r="AM24">
        <f t="shared" si="53"/>
        <v>2.0034211592083402</v>
      </c>
      <c r="AN24">
        <f t="shared" si="54"/>
        <v>0.76809821883263152</v>
      </c>
      <c r="AO24">
        <f t="shared" si="55"/>
        <v>0.43001098072726773</v>
      </c>
      <c r="AP24">
        <f t="shared" si="56"/>
        <v>8.8704606428276733</v>
      </c>
      <c r="AQ24">
        <f t="shared" si="57"/>
        <v>2.1055411155082555</v>
      </c>
      <c r="AR24">
        <f t="shared" si="58"/>
        <v>0.81597467048364225</v>
      </c>
      <c r="AS24">
        <f t="shared" si="59"/>
        <v>0.45192983805714865</v>
      </c>
      <c r="AT24">
        <f t="shared" si="60"/>
        <v>7.8720034769313711</v>
      </c>
      <c r="AU24">
        <f t="shared" si="61"/>
        <v>2.056489386760926</v>
      </c>
      <c r="AV24">
        <f t="shared" si="62"/>
        <v>0.72412873488468144</v>
      </c>
      <c r="AW24">
        <f t="shared" si="63"/>
        <v>0.44140145669906117</v>
      </c>
      <c r="AX24">
        <f t="shared" si="64"/>
        <v>0.76940054140031844</v>
      </c>
      <c r="AY24">
        <f t="shared" si="65"/>
        <v>0.44111409182782585</v>
      </c>
      <c r="AZ24">
        <f t="shared" si="66"/>
        <v>3.7507252672559603E-2</v>
      </c>
      <c r="BA24">
        <f t="shared" si="67"/>
        <v>8.9506428293850727E-3</v>
      </c>
      <c r="BB24">
        <f t="shared" si="38"/>
        <v>8.1548268760679127E-7</v>
      </c>
      <c r="BC24">
        <f t="shared" si="39"/>
        <v>8.3402089884210057E-8</v>
      </c>
      <c r="BD24" t="str">
        <v>Local funcId 1690017899200 not found</v>
      </c>
      <c r="BE24" t="e">
        <f t="shared" si="68"/>
        <v>#VALUE!</v>
      </c>
      <c r="BF24" t="e">
        <f t="shared" si="69"/>
        <v>#VALUE!</v>
      </c>
      <c r="BG24" t="e">
        <f t="shared" si="40"/>
        <v>#VALUE!</v>
      </c>
      <c r="BH24" t="str">
        <f t="shared" si="41"/>
        <v>Local funcId 1690017901696 not found</v>
      </c>
      <c r="BJ24" t="s">
        <v>73</v>
      </c>
      <c r="BK24">
        <v>2.5000000000000001E-4</v>
      </c>
      <c r="BL24" s="7"/>
      <c r="BM24" s="7"/>
    </row>
    <row r="25" spans="1:77" x14ac:dyDescent="0.25">
      <c r="A25">
        <v>150</v>
      </c>
      <c r="B25">
        <f t="shared" si="42"/>
        <v>9000</v>
      </c>
      <c r="C25">
        <v>0.10639999999999999</v>
      </c>
      <c r="D25">
        <v>3.2099999999999997E-2</v>
      </c>
      <c r="F25">
        <v>150</v>
      </c>
      <c r="G25">
        <v>0.11269999999999999</v>
      </c>
      <c r="H25">
        <v>3.3799999999999997E-2</v>
      </c>
      <c r="J25">
        <v>150</v>
      </c>
      <c r="K25">
        <v>0.1026</v>
      </c>
      <c r="L25">
        <v>3.2599999999999997E-2</v>
      </c>
      <c r="N25">
        <v>150</v>
      </c>
      <c r="O25">
        <f t="shared" si="43"/>
        <v>0.10723333333333333</v>
      </c>
      <c r="P25">
        <f t="shared" si="44"/>
        <v>3.2833333333333325E-2</v>
      </c>
      <c r="Q25">
        <f t="shared" si="36"/>
        <v>4.1651997417757628E-3</v>
      </c>
      <c r="R25">
        <f t="shared" si="37"/>
        <v>7.1336448530108986E-4</v>
      </c>
      <c r="T25">
        <v>0.3</v>
      </c>
      <c r="U25">
        <f>(1-T25)*15.53</f>
        <v>10.870999999999999</v>
      </c>
      <c r="V25">
        <f>T25*15.53</f>
        <v>4.6589999999999998</v>
      </c>
      <c r="Y25">
        <v>150</v>
      </c>
      <c r="Z25">
        <f>((C25*$U$7)-(D25*$U$6))/(($U$7*$U$4)-($U$6*$U$5))</f>
        <v>1.7196928204835475E-5</v>
      </c>
      <c r="AA25">
        <f t="shared" si="45"/>
        <v>4.849682058037008E-6</v>
      </c>
      <c r="AC25">
        <f t="shared" si="46"/>
        <v>1.8290288364202057E-5</v>
      </c>
      <c r="AD25">
        <f t="shared" si="47"/>
        <v>5.101953317210738E-6</v>
      </c>
      <c r="AF25">
        <f t="shared" si="48"/>
        <v>1.5966373044677701E-5</v>
      </c>
      <c r="AG25">
        <f t="shared" si="49"/>
        <v>4.9626827791462151E-6</v>
      </c>
      <c r="AH25">
        <f t="shared" si="15"/>
        <v>2.2122635922703062E-5</v>
      </c>
      <c r="AI25">
        <f>(Z25+AC25+AF25)/3</f>
        <v>1.7151196537905077E-5</v>
      </c>
      <c r="AJ25">
        <f t="shared" si="51"/>
        <v>4.9714393847979864E-6</v>
      </c>
      <c r="AK25">
        <f t="shared" si="18"/>
        <v>0.99997787736407728</v>
      </c>
      <c r="AL25">
        <f t="shared" si="52"/>
        <v>8.5984641024177382</v>
      </c>
      <c r="AM25">
        <f t="shared" si="53"/>
        <v>2.4248410290185038</v>
      </c>
      <c r="AN25">
        <f t="shared" si="54"/>
        <v>0.79095429145595986</v>
      </c>
      <c r="AO25">
        <f t="shared" si="55"/>
        <v>0.5204638396691359</v>
      </c>
      <c r="AP25">
        <f t="shared" si="56"/>
        <v>9.1451441821010278</v>
      </c>
      <c r="AQ25">
        <f t="shared" si="57"/>
        <v>2.5509766586053688</v>
      </c>
      <c r="AR25">
        <f t="shared" si="58"/>
        <v>0.84124222078015165</v>
      </c>
      <c r="AS25">
        <f t="shared" si="59"/>
        <v>0.54753738111297889</v>
      </c>
      <c r="AT25">
        <f t="shared" si="60"/>
        <v>7.9831865223388503</v>
      </c>
      <c r="AU25">
        <f t="shared" si="61"/>
        <v>2.4813413895731076</v>
      </c>
      <c r="AV25">
        <f t="shared" si="62"/>
        <v>0.73435622503346987</v>
      </c>
      <c r="AW25">
        <f t="shared" si="63"/>
        <v>0.53259098295194407</v>
      </c>
      <c r="AX25">
        <f t="shared" si="64"/>
        <v>0.78885091242319383</v>
      </c>
      <c r="AY25">
        <f t="shared" si="65"/>
        <v>0.53353073457801958</v>
      </c>
      <c r="AZ25">
        <f t="shared" si="66"/>
        <v>4.3661364875646667E-2</v>
      </c>
      <c r="BA25">
        <f t="shared" si="67"/>
        <v>1.1072684450692307E-2</v>
      </c>
      <c r="BB25">
        <f t="shared" si="38"/>
        <v>9.4928539512631E-7</v>
      </c>
      <c r="BC25">
        <f t="shared" si="39"/>
        <v>1.0317527371155132E-7</v>
      </c>
      <c r="BD25" t="str">
        <v>Local funcId 1690017899200 not found</v>
      </c>
      <c r="BE25" t="e">
        <f t="shared" si="68"/>
        <v>#VALUE!</v>
      </c>
      <c r="BF25" t="e">
        <f t="shared" si="69"/>
        <v>#VALUE!</v>
      </c>
      <c r="BG25" t="e">
        <f t="shared" si="40"/>
        <v>#VALUE!</v>
      </c>
      <c r="BH25" t="str">
        <f t="shared" si="41"/>
        <v>Local funcId 1690017901696 not found</v>
      </c>
      <c r="BJ25" t="s">
        <v>74</v>
      </c>
      <c r="BK25">
        <f>PI()/4*0.008^2</f>
        <v>5.0265482457436686E-5</v>
      </c>
      <c r="BL25" s="7"/>
      <c r="BM25" s="7"/>
    </row>
    <row r="26" spans="1:77" x14ac:dyDescent="0.25">
      <c r="A26">
        <v>180</v>
      </c>
      <c r="B26">
        <f t="shared" si="42"/>
        <v>10800</v>
      </c>
      <c r="C26">
        <v>0.114</v>
      </c>
      <c r="D26">
        <v>3.6600000000000001E-2</v>
      </c>
      <c r="F26">
        <v>180</v>
      </c>
      <c r="G26">
        <v>0.11990000000000001</v>
      </c>
      <c r="H26">
        <v>3.8699999999999998E-2</v>
      </c>
      <c r="J26">
        <v>180</v>
      </c>
      <c r="K26">
        <v>0.10920000000000001</v>
      </c>
      <c r="L26">
        <v>3.7699999999999997E-2</v>
      </c>
      <c r="N26">
        <v>180</v>
      </c>
      <c r="O26">
        <f t="shared" si="43"/>
        <v>0.11436666666666667</v>
      </c>
      <c r="P26">
        <f t="shared" si="44"/>
        <v>3.7666666666666668E-2</v>
      </c>
      <c r="Q26">
        <f t="shared" si="36"/>
        <v>4.3759443425264105E-3</v>
      </c>
      <c r="R26">
        <f t="shared" si="37"/>
        <v>8.5764535535123941E-4</v>
      </c>
      <c r="T26">
        <v>0.5</v>
      </c>
      <c r="U26">
        <f>T26*15.83</f>
        <v>7.915</v>
      </c>
      <c r="V26">
        <f>T26*15.83</f>
        <v>7.915</v>
      </c>
      <c r="Y26">
        <v>180</v>
      </c>
      <c r="Z26">
        <f t="shared" si="70"/>
        <v>1.7598984522163992E-5</v>
      </c>
      <c r="AA26">
        <f t="shared" si="45"/>
        <v>5.5797622290511638E-6</v>
      </c>
      <c r="AC26">
        <f t="shared" si="46"/>
        <v>1.8432767043430578E-5</v>
      </c>
      <c r="AD26">
        <f t="shared" si="47"/>
        <v>5.9043124028616039E-6</v>
      </c>
      <c r="AF26">
        <f t="shared" si="48"/>
        <v>1.5869234648791639E-5</v>
      </c>
      <c r="AG26">
        <f t="shared" si="49"/>
        <v>5.8039270285170508E-6</v>
      </c>
      <c r="AH26">
        <f t="shared" si="15"/>
        <v>2.3062995958272008E-5</v>
      </c>
      <c r="AI26">
        <f t="shared" si="50"/>
        <v>1.7300328738128736E-5</v>
      </c>
      <c r="AJ26">
        <f t="shared" si="51"/>
        <v>5.7626672201432722E-6</v>
      </c>
      <c r="AK26">
        <f t="shared" si="18"/>
        <v>0.99997693700404167</v>
      </c>
      <c r="AL26">
        <f t="shared" si="52"/>
        <v>8.7994922610819959</v>
      </c>
      <c r="AM26">
        <f t="shared" si="53"/>
        <v>2.7898811145255817</v>
      </c>
      <c r="AN26">
        <f t="shared" si="54"/>
        <v>0.80944644108931996</v>
      </c>
      <c r="AO26">
        <f t="shared" si="55"/>
        <v>0.59881543561399053</v>
      </c>
      <c r="AP26">
        <f t="shared" si="56"/>
        <v>9.2163835217152883</v>
      </c>
      <c r="AQ26">
        <f t="shared" si="57"/>
        <v>2.9521562014308018</v>
      </c>
      <c r="AR26">
        <f t="shared" si="58"/>
        <v>0.84779537500830549</v>
      </c>
      <c r="AS26">
        <f t="shared" si="59"/>
        <v>0.63364588998300109</v>
      </c>
      <c r="AT26">
        <f t="shared" si="60"/>
        <v>7.9346173243958189</v>
      </c>
      <c r="AU26">
        <f t="shared" si="61"/>
        <v>2.9019635142585254</v>
      </c>
      <c r="AV26">
        <f t="shared" si="62"/>
        <v>0.72988844856920432</v>
      </c>
      <c r="AW26">
        <f t="shared" si="63"/>
        <v>0.62287261520895587</v>
      </c>
      <c r="AX26">
        <f t="shared" si="64"/>
        <v>0.79571008822227662</v>
      </c>
      <c r="AY26">
        <f t="shared" si="65"/>
        <v>0.61844464693531587</v>
      </c>
      <c r="AZ26">
        <f t="shared" si="66"/>
        <v>4.9105507960885281E-2</v>
      </c>
      <c r="BA26">
        <f t="shared" si="67"/>
        <v>1.4560112526172401E-2</v>
      </c>
      <c r="BB26">
        <f t="shared" si="38"/>
        <v>1.0676519540855683E-6</v>
      </c>
      <c r="BC26">
        <f t="shared" si="39"/>
        <v>1.3567112851887434E-7</v>
      </c>
      <c r="BD26" t="str">
        <v>Local funcId 1690017899200 not found</v>
      </c>
      <c r="BE26" t="e">
        <f t="shared" si="68"/>
        <v>#VALUE!</v>
      </c>
      <c r="BF26" t="e">
        <f t="shared" si="69"/>
        <v>#VALUE!</v>
      </c>
      <c r="BG26" t="e">
        <f t="shared" si="40"/>
        <v>#VALUE!</v>
      </c>
      <c r="BH26" t="str">
        <f t="shared" si="41"/>
        <v>Local funcId 1690017901696 not found</v>
      </c>
      <c r="BJ26" t="s">
        <v>129</v>
      </c>
      <c r="BK26">
        <f>BK24*BK25*BK27</f>
        <v>1.5532034079347938E-5</v>
      </c>
      <c r="BL26" s="7"/>
      <c r="BM26" s="7"/>
      <c r="BW26" t="s">
        <v>133</v>
      </c>
    </row>
    <row r="27" spans="1:77" x14ac:dyDescent="0.25">
      <c r="A27">
        <v>210</v>
      </c>
      <c r="B27">
        <f t="shared" si="42"/>
        <v>12600</v>
      </c>
      <c r="C27">
        <v>0.1196</v>
      </c>
      <c r="D27">
        <v>4.0899999999999999E-2</v>
      </c>
      <c r="F27">
        <v>210</v>
      </c>
      <c r="G27">
        <v>0.1288</v>
      </c>
      <c r="H27">
        <v>4.5100000000000001E-2</v>
      </c>
      <c r="J27">
        <v>210</v>
      </c>
      <c r="K27">
        <v>0.1177</v>
      </c>
      <c r="L27">
        <v>4.3499999999999997E-2</v>
      </c>
      <c r="N27">
        <v>210</v>
      </c>
      <c r="O27">
        <f t="shared" si="43"/>
        <v>0.12203333333333333</v>
      </c>
      <c r="P27">
        <f t="shared" si="44"/>
        <v>4.3166666666666666E-2</v>
      </c>
      <c r="Q27">
        <f t="shared" si="36"/>
        <v>4.8472214262972914E-3</v>
      </c>
      <c r="R27">
        <f t="shared" si="37"/>
        <v>1.7307673314329568E-3</v>
      </c>
      <c r="T27">
        <v>0.7</v>
      </c>
      <c r="U27">
        <v>4.8</v>
      </c>
      <c r="V27">
        <v>11.2</v>
      </c>
      <c r="Y27">
        <v>210</v>
      </c>
      <c r="Z27">
        <f t="shared" si="70"/>
        <v>1.7526774250187324E-5</v>
      </c>
      <c r="AA27">
        <f t="shared" si="45"/>
        <v>6.2888043279558436E-6</v>
      </c>
      <c r="AC27">
        <f t="shared" si="46"/>
        <v>1.8480455628300719E-5</v>
      </c>
      <c r="AD27">
        <f t="shared" si="47"/>
        <v>6.9557517671872193E-6</v>
      </c>
      <c r="AF27">
        <f t="shared" si="48"/>
        <v>1.6031719050650337E-5</v>
      </c>
      <c r="AG27">
        <f t="shared" si="49"/>
        <v>6.7538122868916364E-6</v>
      </c>
      <c r="AH27">
        <f t="shared" si="15"/>
        <v>2.4012439103724359E-5</v>
      </c>
      <c r="AI27">
        <f t="shared" si="50"/>
        <v>1.7346316309712793E-5</v>
      </c>
      <c r="AJ27">
        <f t="shared" si="51"/>
        <v>6.6661227940115661E-6</v>
      </c>
      <c r="AK27">
        <f t="shared" si="18"/>
        <v>0.99997598756089634</v>
      </c>
      <c r="AL27">
        <f t="shared" si="52"/>
        <v>8.7633871250936615</v>
      </c>
      <c r="AM27">
        <f t="shared" si="53"/>
        <v>3.1444021639779218</v>
      </c>
      <c r="AN27">
        <f t="shared" si="54"/>
        <v>0.80612520698129542</v>
      </c>
      <c r="AO27">
        <f t="shared" si="55"/>
        <v>0.67490924318049406</v>
      </c>
      <c r="AP27">
        <f t="shared" si="56"/>
        <v>9.2402278141503604</v>
      </c>
      <c r="AQ27">
        <f t="shared" si="57"/>
        <v>3.4778758835936094</v>
      </c>
      <c r="AR27">
        <f t="shared" si="58"/>
        <v>0.84998876038546234</v>
      </c>
      <c r="AS27">
        <f t="shared" si="59"/>
        <v>0.74648548692715377</v>
      </c>
      <c r="AT27">
        <f t="shared" si="60"/>
        <v>8.015859525325169</v>
      </c>
      <c r="AU27">
        <f t="shared" si="61"/>
        <v>3.3769061434458183</v>
      </c>
      <c r="AV27">
        <f t="shared" si="62"/>
        <v>0.73736174457963111</v>
      </c>
      <c r="AW27">
        <f t="shared" si="63"/>
        <v>0.72481351007637229</v>
      </c>
      <c r="AX27">
        <f t="shared" si="64"/>
        <v>0.79782523731546295</v>
      </c>
      <c r="AY27">
        <f t="shared" si="65"/>
        <v>0.71540274672800674</v>
      </c>
      <c r="AZ27">
        <f t="shared" si="66"/>
        <v>4.6352837343374816E-2</v>
      </c>
      <c r="BA27">
        <f t="shared" si="67"/>
        <v>2.9969000843310483E-2</v>
      </c>
      <c r="BB27">
        <f t="shared" si="38"/>
        <v>1.0078033895196552E-6</v>
      </c>
      <c r="BC27">
        <f t="shared" si="39"/>
        <v>2.7925114985796719E-7</v>
      </c>
      <c r="BD27" t="str">
        <v>Local funcId 1690017899200 not found</v>
      </c>
      <c r="BE27" t="e">
        <f t="shared" si="68"/>
        <v>#VALUE!</v>
      </c>
      <c r="BF27" t="e">
        <f t="shared" si="69"/>
        <v>#VALUE!</v>
      </c>
      <c r="BG27" t="e">
        <f t="shared" si="40"/>
        <v>#VALUE!</v>
      </c>
      <c r="BH27" t="str">
        <f t="shared" si="41"/>
        <v>Local funcId 1690017901696 not found</v>
      </c>
      <c r="BJ27" t="s">
        <v>82</v>
      </c>
      <c r="BK27">
        <v>1236</v>
      </c>
      <c r="BL27" s="7"/>
      <c r="BM27" s="7"/>
      <c r="BW27" t="s">
        <v>92</v>
      </c>
      <c r="BX27" t="s">
        <v>131</v>
      </c>
      <c r="BY27" t="s">
        <v>132</v>
      </c>
    </row>
    <row r="28" spans="1:77" x14ac:dyDescent="0.25">
      <c r="A28">
        <v>240</v>
      </c>
      <c r="B28">
        <f t="shared" si="42"/>
        <v>14400</v>
      </c>
      <c r="C28">
        <v>0.12609999999999999</v>
      </c>
      <c r="D28">
        <v>4.7100000000000003E-2</v>
      </c>
      <c r="F28">
        <v>240</v>
      </c>
      <c r="G28">
        <v>0.13619999999999999</v>
      </c>
      <c r="H28">
        <v>5.0500000000000003E-2</v>
      </c>
      <c r="J28">
        <v>240</v>
      </c>
      <c r="K28">
        <v>0.12470000000000001</v>
      </c>
      <c r="L28">
        <v>4.8599999999999997E-2</v>
      </c>
      <c r="N28">
        <v>240</v>
      </c>
      <c r="O28">
        <f t="shared" si="43"/>
        <v>0.129</v>
      </c>
      <c r="P28">
        <f t="shared" si="44"/>
        <v>4.873333333333333E-2</v>
      </c>
      <c r="Q28">
        <f t="shared" si="36"/>
        <v>5.1231500726278368E-3</v>
      </c>
      <c r="R28">
        <f t="shared" si="37"/>
        <v>1.3912424503139474E-3</v>
      </c>
      <c r="Y28">
        <v>240</v>
      </c>
      <c r="Z28">
        <f t="shared" si="70"/>
        <v>1.6990367989687704E-5</v>
      </c>
      <c r="AA28">
        <f t="shared" si="45"/>
        <v>7.3219513265735982E-6</v>
      </c>
      <c r="AC28">
        <f t="shared" si="46"/>
        <v>1.8490661708017238E-5</v>
      </c>
      <c r="AD28">
        <f t="shared" si="47"/>
        <v>7.8436545099311476E-6</v>
      </c>
      <c r="AF28">
        <f t="shared" si="48"/>
        <v>1.604440891082885E-5</v>
      </c>
      <c r="AG28">
        <f t="shared" si="49"/>
        <v>7.5923108298608577E-6</v>
      </c>
      <c r="AH28">
        <f t="shared" si="15"/>
        <v>2.4761118424966464E-5</v>
      </c>
      <c r="AI28">
        <f t="shared" si="50"/>
        <v>1.7175146202844598E-5</v>
      </c>
      <c r="AJ28">
        <f t="shared" si="51"/>
        <v>7.585972222121867E-6</v>
      </c>
      <c r="AK28">
        <f t="shared" si="18"/>
        <v>0.99997523888157502</v>
      </c>
      <c r="AL28">
        <f t="shared" si="52"/>
        <v>8.4951839948438526</v>
      </c>
      <c r="AM28">
        <f t="shared" si="53"/>
        <v>3.6609756632867989</v>
      </c>
      <c r="AN28">
        <f t="shared" si="54"/>
        <v>0.78145377562725171</v>
      </c>
      <c r="AO28">
        <f t="shared" si="55"/>
        <v>0.78578571867070168</v>
      </c>
      <c r="AP28">
        <f t="shared" si="56"/>
        <v>9.2453308540086194</v>
      </c>
      <c r="AQ28">
        <f t="shared" si="57"/>
        <v>3.9218272549655739</v>
      </c>
      <c r="AR28">
        <f t="shared" si="58"/>
        <v>0.85045817808928525</v>
      </c>
      <c r="AS28">
        <f t="shared" si="59"/>
        <v>0.84177446983592485</v>
      </c>
      <c r="AT28">
        <f t="shared" si="60"/>
        <v>8.0222044554144247</v>
      </c>
      <c r="AU28">
        <f t="shared" si="61"/>
        <v>3.7961554149304289</v>
      </c>
      <c r="AV28">
        <f t="shared" si="62"/>
        <v>0.73794540110518125</v>
      </c>
      <c r="AW28">
        <f t="shared" si="63"/>
        <v>0.81480047540897815</v>
      </c>
      <c r="AX28">
        <f t="shared" si="64"/>
        <v>0.78995245160723948</v>
      </c>
      <c r="AY28">
        <f t="shared" si="65"/>
        <v>0.81412022130520167</v>
      </c>
      <c r="AZ28">
        <f t="shared" si="66"/>
        <v>4.6324592937432962E-2</v>
      </c>
      <c r="BA28">
        <f t="shared" si="67"/>
        <v>2.2862372631241322E-2</v>
      </c>
      <c r="BB28">
        <f t="shared" si="38"/>
        <v>1.0071892996456671E-6</v>
      </c>
      <c r="BC28">
        <f t="shared" si="39"/>
        <v>2.1303158817790658E-7</v>
      </c>
      <c r="BD28" t="str">
        <v>Local funcId 1690017899200 not found</v>
      </c>
      <c r="BE28" t="e">
        <f t="shared" si="68"/>
        <v>#VALUE!</v>
      </c>
      <c r="BF28" t="e">
        <f t="shared" si="69"/>
        <v>#VALUE!</v>
      </c>
      <c r="BG28" t="e">
        <f t="shared" si="40"/>
        <v>#VALUE!</v>
      </c>
      <c r="BH28" t="str">
        <f t="shared" si="41"/>
        <v>Local funcId 1690017901696 not found</v>
      </c>
      <c r="BJ28" t="s">
        <v>123</v>
      </c>
      <c r="BK28">
        <v>302.86095838387695</v>
      </c>
      <c r="BV28" t="s">
        <v>103</v>
      </c>
      <c r="BW28">
        <v>0.3</v>
      </c>
      <c r="BX28">
        <f>Sorptionsmessungen!BS15</f>
        <v>-9.9136954299267952</v>
      </c>
      <c r="BY28" t="e">
        <f>Sorptionsmessungen!BS19</f>
        <v>#DIV/0!</v>
      </c>
    </row>
    <row r="29" spans="1:77" x14ac:dyDescent="0.25">
      <c r="A29">
        <v>270</v>
      </c>
      <c r="B29">
        <f t="shared" si="42"/>
        <v>16200</v>
      </c>
      <c r="C29">
        <v>0.1346</v>
      </c>
      <c r="D29">
        <v>5.21E-2</v>
      </c>
      <c r="F29">
        <v>270</v>
      </c>
      <c r="G29">
        <v>0.14180000000000001</v>
      </c>
      <c r="H29">
        <v>5.4399999999999997E-2</v>
      </c>
      <c r="J29">
        <v>270</v>
      </c>
      <c r="K29">
        <v>0.13139999999999999</v>
      </c>
      <c r="L29">
        <v>5.3400000000000003E-2</v>
      </c>
      <c r="N29">
        <v>270</v>
      </c>
      <c r="O29">
        <f t="shared" si="43"/>
        <v>0.13593333333333332</v>
      </c>
      <c r="P29">
        <f t="shared" si="44"/>
        <v>5.3299999999999993E-2</v>
      </c>
      <c r="Q29">
        <f t="shared" si="36"/>
        <v>4.3492017147466989E-3</v>
      </c>
      <c r="R29">
        <f t="shared" si="37"/>
        <v>9.4162979278836765E-4</v>
      </c>
      <c r="Y29">
        <v>270</v>
      </c>
      <c r="Z29">
        <f t="shared" si="70"/>
        <v>1.7452351155617244E-5</v>
      </c>
      <c r="AA29">
        <f t="shared" si="45"/>
        <v>8.1327701684779897E-6</v>
      </c>
      <c r="AC29">
        <f t="shared" si="46"/>
        <v>1.8568200818075997E-5</v>
      </c>
      <c r="AD29">
        <f t="shared" si="47"/>
        <v>8.4831634006007316E-6</v>
      </c>
      <c r="AF29">
        <f t="shared" si="48"/>
        <v>1.608703961548549E-5</v>
      </c>
      <c r="AG29">
        <f t="shared" si="49"/>
        <v>8.3807187464549678E-6</v>
      </c>
      <c r="AH29">
        <f t="shared" si="15"/>
        <v>2.570141463490414E-5</v>
      </c>
      <c r="AI29">
        <f t="shared" si="50"/>
        <v>1.7369197196392912E-5</v>
      </c>
      <c r="AJ29">
        <f t="shared" si="51"/>
        <v>8.3322174385112297E-6</v>
      </c>
      <c r="AK29">
        <f t="shared" si="18"/>
        <v>0.99997429858536513</v>
      </c>
      <c r="AL29">
        <f t="shared" si="52"/>
        <v>8.7261755778086219</v>
      </c>
      <c r="AM29">
        <f t="shared" si="53"/>
        <v>4.0663850842389948</v>
      </c>
      <c r="AN29">
        <f t="shared" si="54"/>
        <v>0.80270219646845953</v>
      </c>
      <c r="AO29">
        <f t="shared" si="55"/>
        <v>0.87280212153659475</v>
      </c>
      <c r="AP29">
        <f t="shared" si="56"/>
        <v>9.2841004090379986</v>
      </c>
      <c r="AQ29">
        <f t="shared" si="57"/>
        <v>4.2415817003003662</v>
      </c>
      <c r="AR29">
        <f t="shared" si="58"/>
        <v>0.85402450639665162</v>
      </c>
      <c r="AS29">
        <f t="shared" si="59"/>
        <v>0.91040603140166698</v>
      </c>
      <c r="AT29">
        <f t="shared" si="60"/>
        <v>8.0435198077427454</v>
      </c>
      <c r="AU29">
        <f t="shared" si="61"/>
        <v>4.1903593732274835</v>
      </c>
      <c r="AV29">
        <f t="shared" si="62"/>
        <v>0.73990615469991228</v>
      </c>
      <c r="AW29">
        <f t="shared" si="63"/>
        <v>0.89941175643431714</v>
      </c>
      <c r="AX29">
        <f t="shared" si="64"/>
        <v>0.7988776191883411</v>
      </c>
      <c r="AY29">
        <f t="shared" si="65"/>
        <v>0.89420663645752629</v>
      </c>
      <c r="AZ29">
        <f t="shared" si="66"/>
        <v>4.666704827480072E-2</v>
      </c>
      <c r="BA29">
        <f t="shared" si="67"/>
        <v>1.5786776423422855E-2</v>
      </c>
      <c r="BB29">
        <f t="shared" si="38"/>
        <v>1.0146349635907173E-6</v>
      </c>
      <c r="BC29">
        <f t="shared" si="39"/>
        <v>1.4710118271345385E-7</v>
      </c>
      <c r="BD29" t="str">
        <v>Local funcId 1690017899200 not found</v>
      </c>
      <c r="BE29" t="e">
        <f t="shared" si="68"/>
        <v>#VALUE!</v>
      </c>
      <c r="BF29" t="e">
        <f t="shared" si="69"/>
        <v>#VALUE!</v>
      </c>
      <c r="BG29" t="e">
        <f t="shared" si="40"/>
        <v>#VALUE!</v>
      </c>
      <c r="BH29" t="str">
        <f t="shared" si="41"/>
        <v>Local funcId 1690017901696 not found</v>
      </c>
      <c r="BJ29" t="s">
        <v>72</v>
      </c>
      <c r="BK29" s="10">
        <f>BK28*0.000000000001</f>
        <v>3.0286095838387692E-10</v>
      </c>
      <c r="BW29">
        <v>0.5</v>
      </c>
      <c r="BX29">
        <f>Sorptionsmessungen!BS16</f>
        <v>-10.516068902229959</v>
      </c>
      <c r="BY29" t="e">
        <f>Sorptionsmessungen!BS20</f>
        <v>#DIV/0!</v>
      </c>
    </row>
    <row r="30" spans="1:77" x14ac:dyDescent="0.25">
      <c r="A30">
        <v>300</v>
      </c>
      <c r="B30">
        <f t="shared" si="42"/>
        <v>18000</v>
      </c>
      <c r="C30">
        <v>0.1429</v>
      </c>
      <c r="D30">
        <v>5.8900000000000001E-2</v>
      </c>
      <c r="F30">
        <v>300</v>
      </c>
      <c r="G30">
        <v>0.15079999999999999</v>
      </c>
      <c r="H30">
        <v>5.8799999999999998E-2</v>
      </c>
      <c r="J30">
        <v>300</v>
      </c>
      <c r="K30">
        <v>0.13800000000000001</v>
      </c>
      <c r="L30">
        <v>5.8099999999999999E-2</v>
      </c>
      <c r="N30">
        <v>300</v>
      </c>
      <c r="O30">
        <f t="shared" si="43"/>
        <v>0.1439</v>
      </c>
      <c r="P30">
        <f t="shared" si="44"/>
        <v>5.8600000000000006E-2</v>
      </c>
      <c r="Q30">
        <f t="shared" si="36"/>
        <v>5.2732026953898302E-3</v>
      </c>
      <c r="R30">
        <f t="shared" si="37"/>
        <v>3.5590260840104413E-4</v>
      </c>
      <c r="U30" t="s">
        <v>141</v>
      </c>
      <c r="Y30">
        <v>300</v>
      </c>
      <c r="Z30">
        <f t="shared" si="70"/>
        <v>1.7185547974355103E-5</v>
      </c>
      <c r="AA30">
        <f t="shared" si="45"/>
        <v>9.2578613006411223E-6</v>
      </c>
      <c r="AC30">
        <f t="shared" si="46"/>
        <v>1.9392093377139388E-5</v>
      </c>
      <c r="AD30">
        <f t="shared" si="47"/>
        <v>9.1862502971504627E-6</v>
      </c>
      <c r="AF30">
        <f t="shared" si="48"/>
        <v>1.6139650601634855E-5</v>
      </c>
      <c r="AG30">
        <f t="shared" si="49"/>
        <v>9.1524297875907076E-6</v>
      </c>
      <c r="AH30">
        <f t="shared" si="15"/>
        <v>2.6771277779503878E-5</v>
      </c>
      <c r="AI30">
        <f t="shared" si="50"/>
        <v>1.7572430651043117E-5</v>
      </c>
      <c r="AJ30">
        <f t="shared" si="51"/>
        <v>9.1988471284607637E-6</v>
      </c>
      <c r="AK30">
        <f t="shared" si="18"/>
        <v>0.9999732287222205</v>
      </c>
      <c r="AL30">
        <f t="shared" si="52"/>
        <v>8.5927739871775515</v>
      </c>
      <c r="AM30">
        <f t="shared" si="53"/>
        <v>4.6289306503205614</v>
      </c>
      <c r="AN30">
        <f t="shared" si="54"/>
        <v>0.79043086994550205</v>
      </c>
      <c r="AO30">
        <f t="shared" si="55"/>
        <v>0.99354596486811797</v>
      </c>
      <c r="AP30">
        <f t="shared" si="56"/>
        <v>9.6960466885696945</v>
      </c>
      <c r="AQ30">
        <f t="shared" si="57"/>
        <v>4.5931251485752318</v>
      </c>
      <c r="AR30">
        <f t="shared" si="58"/>
        <v>0.89191856209821507</v>
      </c>
      <c r="AS30">
        <f t="shared" si="59"/>
        <v>0.98586073161091048</v>
      </c>
      <c r="AT30">
        <f t="shared" si="60"/>
        <v>8.0698253008174277</v>
      </c>
      <c r="AU30">
        <f t="shared" si="61"/>
        <v>4.5762148937953535</v>
      </c>
      <c r="AV30">
        <f t="shared" si="62"/>
        <v>0.74232594065103752</v>
      </c>
      <c r="AW30">
        <f t="shared" si="63"/>
        <v>0.98223114269056744</v>
      </c>
      <c r="AX30">
        <f t="shared" si="64"/>
        <v>0.80822512423158488</v>
      </c>
      <c r="AY30">
        <f t="shared" si="65"/>
        <v>0.98721261305653185</v>
      </c>
      <c r="AZ30">
        <f t="shared" si="66"/>
        <v>6.235364042864952E-2</v>
      </c>
      <c r="BA30">
        <f t="shared" si="67"/>
        <v>4.7171310355383781E-3</v>
      </c>
      <c r="BB30">
        <f t="shared" si="38"/>
        <v>1.3556928501996972E-6</v>
      </c>
      <c r="BC30">
        <f t="shared" si="39"/>
        <v>4.3954226989146226E-8</v>
      </c>
      <c r="BD30" t="str">
        <v>Local funcId 1690017899200 not found</v>
      </c>
      <c r="BE30" t="e">
        <f t="shared" si="68"/>
        <v>#VALUE!</v>
      </c>
      <c r="BF30" t="e">
        <f t="shared" si="69"/>
        <v>#VALUE!</v>
      </c>
      <c r="BG30" t="e">
        <f t="shared" si="40"/>
        <v>#VALUE!</v>
      </c>
      <c r="BH30" t="str">
        <f t="shared" si="41"/>
        <v>Local funcId 1690017901696 not found</v>
      </c>
      <c r="BJ30" t="s">
        <v>75</v>
      </c>
      <c r="BK30">
        <v>0.5</v>
      </c>
      <c r="BW30">
        <v>0.7</v>
      </c>
      <c r="BX30">
        <f>Sorptionsmessungen!BS17</f>
        <v>-4</v>
      </c>
      <c r="BY30" t="e">
        <f>Sorptionsmessungen!BS21</f>
        <v>#NUM!</v>
      </c>
    </row>
    <row r="31" spans="1:77" x14ac:dyDescent="0.25">
      <c r="T31" t="s">
        <v>140</v>
      </c>
      <c r="U31" s="7">
        <v>3</v>
      </c>
      <c r="V31" s="7">
        <f>U20+V20</f>
        <v>62.129999999999995</v>
      </c>
      <c r="BF31" t="s">
        <v>79</v>
      </c>
      <c r="BG31" t="e">
        <f>SUM(BG19:BG30)</f>
        <v>#VALUE!</v>
      </c>
      <c r="BW31" t="s">
        <v>92</v>
      </c>
      <c r="BX31" t="s">
        <v>131</v>
      </c>
      <c r="BY31" t="s">
        <v>132</v>
      </c>
    </row>
    <row r="32" spans="1:77" x14ac:dyDescent="0.25">
      <c r="A32" s="14" t="s">
        <v>9</v>
      </c>
      <c r="B32" s="14"/>
      <c r="C32" s="14"/>
      <c r="D32" s="14"/>
      <c r="F32" s="14" t="s">
        <v>10</v>
      </c>
      <c r="G32" s="14"/>
      <c r="H32" s="14"/>
      <c r="J32" s="14" t="s">
        <v>11</v>
      </c>
      <c r="K32" s="14"/>
      <c r="L32" s="14"/>
      <c r="N32" s="18" t="s">
        <v>19</v>
      </c>
      <c r="O32" s="18"/>
      <c r="P32" s="18"/>
      <c r="BV32" t="s">
        <v>104</v>
      </c>
      <c r="BW32">
        <v>0.3</v>
      </c>
      <c r="BX32">
        <f>LOG10(BJ19)</f>
        <v>-9.5187567076881585</v>
      </c>
      <c r="BY32" t="e">
        <f>LOG10(BK19)</f>
        <v>#DIV/0!</v>
      </c>
    </row>
    <row r="33" spans="1:77" ht="18" x14ac:dyDescent="0.35">
      <c r="A33" t="s">
        <v>0</v>
      </c>
      <c r="C33" t="s">
        <v>1</v>
      </c>
      <c r="D33" t="s">
        <v>2</v>
      </c>
      <c r="F33" t="s">
        <v>0</v>
      </c>
      <c r="G33" t="s">
        <v>1</v>
      </c>
      <c r="H33" t="s">
        <v>2</v>
      </c>
      <c r="J33" t="s">
        <v>0</v>
      </c>
      <c r="K33" t="s">
        <v>1</v>
      </c>
      <c r="L33" t="s">
        <v>2</v>
      </c>
      <c r="N33" t="s">
        <v>0</v>
      </c>
      <c r="O33" t="s">
        <v>1</v>
      </c>
      <c r="P33" t="s">
        <v>2</v>
      </c>
      <c r="Q33" t="s">
        <v>16</v>
      </c>
      <c r="R33" t="s">
        <v>17</v>
      </c>
      <c r="Y33" t="s">
        <v>0</v>
      </c>
      <c r="Z33" s="5" t="s">
        <v>47</v>
      </c>
      <c r="AA33" s="5" t="s">
        <v>48</v>
      </c>
      <c r="AB33" s="3"/>
      <c r="AC33" s="5" t="s">
        <v>49</v>
      </c>
      <c r="AD33" s="5" t="s">
        <v>50</v>
      </c>
      <c r="AF33" s="5" t="s">
        <v>51</v>
      </c>
      <c r="AG33" s="5" t="s">
        <v>52</v>
      </c>
      <c r="AH33" s="5" t="s">
        <v>81</v>
      </c>
      <c r="AI33" s="5" t="s">
        <v>32</v>
      </c>
      <c r="AJ33" s="5" t="s">
        <v>33</v>
      </c>
      <c r="AK33" s="5" t="s">
        <v>107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 t="s">
        <v>54</v>
      </c>
      <c r="BC33" s="5" t="s">
        <v>55</v>
      </c>
      <c r="BD33" s="5" t="s">
        <v>68</v>
      </c>
      <c r="BE33" s="5" t="s">
        <v>76</v>
      </c>
      <c r="BF33" s="5" t="s">
        <v>77</v>
      </c>
      <c r="BG33" s="5" t="s">
        <v>78</v>
      </c>
      <c r="BH33" s="5" t="s">
        <v>111</v>
      </c>
      <c r="BI33" s="5" t="s">
        <v>122</v>
      </c>
      <c r="BJ33" s="5" t="s">
        <v>85</v>
      </c>
      <c r="BK33" s="5" t="s">
        <v>124</v>
      </c>
      <c r="BW33">
        <v>0.5</v>
      </c>
      <c r="BX33">
        <f>LOG10(BJ49)</f>
        <v>-10.181557717068735</v>
      </c>
      <c r="BY33" t="e">
        <f>LOG10(BK49)</f>
        <v>#DIV/0!</v>
      </c>
    </row>
    <row r="34" spans="1:77" x14ac:dyDescent="0.25">
      <c r="A34">
        <v>5</v>
      </c>
      <c r="B34">
        <f>A34*60</f>
        <v>300</v>
      </c>
      <c r="C34">
        <v>7.7999999999999996E-3</v>
      </c>
      <c r="D34">
        <v>4.0000000000000001E-3</v>
      </c>
      <c r="F34">
        <v>5</v>
      </c>
      <c r="G34">
        <v>7.7000000000000002E-3</v>
      </c>
      <c r="H34">
        <v>3.5000000000000001E-3</v>
      </c>
      <c r="J34">
        <v>5</v>
      </c>
      <c r="K34">
        <v>7.7999999999999996E-3</v>
      </c>
      <c r="L34">
        <v>3.7000000000000002E-3</v>
      </c>
      <c r="N34">
        <v>5</v>
      </c>
      <c r="O34">
        <f>(C34+G34+K34)/3</f>
        <v>7.7666666666666674E-3</v>
      </c>
      <c r="P34">
        <f>(D34+H34+L34)/3</f>
        <v>3.7333333333333333E-3</v>
      </c>
      <c r="Q34">
        <f t="shared" ref="Q34:Q45" si="71">_xlfn.STDEV.P(C34,G34,K34)</f>
        <v>4.7140452079102885E-5</v>
      </c>
      <c r="R34">
        <f t="shared" ref="R34:R45" si="72">_xlfn.STDEV.P(D34,H34,L34)</f>
        <v>2.0548046676563254E-4</v>
      </c>
      <c r="Y34">
        <v>5</v>
      </c>
      <c r="Z34">
        <f>((C34*$U$7)-(D34*$U$6))/(($U$7*$U$4)-($U$6*$U$5))</f>
        <v>6.4415717290507999E-7</v>
      </c>
      <c r="AA34">
        <f>((D34*$U$4)-(C34*$U$5))/(($U$7*$U$4)-($U$6*$U$5))</f>
        <v>6.4179080751947826E-7</v>
      </c>
      <c r="AC34">
        <f>((G34*$U$7)-(H34*$U$6))/(($U$7*$U$4)-($U$6*$U$5))</f>
        <v>8.0388683643321187E-7</v>
      </c>
      <c r="AD34">
        <f>((H34*$U$4)-(G34*$U$5))/(($U$7*$U$4)-($U$6*$U$5))</f>
        <v>5.5556072382601187E-7</v>
      </c>
      <c r="AF34">
        <f>((K34*$U$7)-(L34*$U$6))/(($U$7*$U$4)-($U$6*$U$5))</f>
        <v>7.5646920943164586E-7</v>
      </c>
      <c r="AG34">
        <f>((L34*$U$4)-(K34*$U$5))/(($U$7*$U$4)-($U$6*$U$5))</f>
        <v>5.896409013431563E-7</v>
      </c>
      <c r="AH34">
        <f t="shared" si="15"/>
        <v>1.3305018838195281E-6</v>
      </c>
      <c r="AI34">
        <f>(Z34+AC34+AF34)/3</f>
        <v>7.3483773958997924E-7</v>
      </c>
      <c r="AJ34">
        <f>(AA34+AD34+AG34)/3</f>
        <v>5.9566414422954881E-7</v>
      </c>
      <c r="AK34">
        <f t="shared" si="18"/>
        <v>0.99999866949811622</v>
      </c>
      <c r="AL34">
        <f>Z34*500000</f>
        <v>0.32207858645254001</v>
      </c>
      <c r="AM34">
        <f>AA34*500000</f>
        <v>0.32089540375973913</v>
      </c>
      <c r="AN34">
        <f>AL34/$U$21</f>
        <v>1.0176258655688468E-2</v>
      </c>
      <c r="AO34">
        <f>AM34/$V$21</f>
        <v>1.0138875316263479E-2</v>
      </c>
      <c r="AP34">
        <f>AC34*500000</f>
        <v>0.40194341821660595</v>
      </c>
      <c r="AQ34">
        <f>AD34*500000</f>
        <v>0.27778036191300592</v>
      </c>
      <c r="AR34">
        <f>AP34/$U$21</f>
        <v>1.2699634066875387E-2</v>
      </c>
      <c r="AS34">
        <f>AQ34/$V$21</f>
        <v>8.7766307081518467E-3</v>
      </c>
      <c r="AT34">
        <f>AF34*500000</f>
        <v>0.37823460471582293</v>
      </c>
      <c r="AU34">
        <f>AG34*500000</f>
        <v>0.29482045067157814</v>
      </c>
      <c r="AV34">
        <f>AT34/$U$21</f>
        <v>1.1950540433359335E-2</v>
      </c>
      <c r="AW34">
        <f>AU34/$V$21</f>
        <v>9.3150221381225317E-3</v>
      </c>
      <c r="AX34">
        <f>(AN34+AR34+AV34)/3</f>
        <v>1.1608811051974395E-2</v>
      </c>
      <c r="AY34">
        <f>(AO34+AS34+AW34)/3</f>
        <v>9.4101760541792853E-3</v>
      </c>
      <c r="BB34">
        <f t="shared" ref="BB34:BB45" si="73">_xlfn.STDEV.P(Z34,AC34,AF34)</f>
        <v>6.6979259069932768E-8</v>
      </c>
      <c r="BC34">
        <f t="shared" ref="BC34:BC45" si="74">_xlfn.STDEV.P(AA34,AD34,AG34)</f>
        <v>3.5459990830953064E-8</v>
      </c>
      <c r="BD34" t="str">
        <f t="array" ref="BD34:BD45">Diffusion1D_xl(B34:B45,BK39,BK44,BK37,BK38)</f>
        <v>Local funcId 1690017899200 not found</v>
      </c>
      <c r="BE34" t="e">
        <f t="shared" ref="BE34:BE45" si="75">BD34/(1-BD34)*$BK$41</f>
        <v>#VALUE!</v>
      </c>
      <c r="BF34" t="e">
        <f>BE34/$BK$45</f>
        <v>#VALUE!</v>
      </c>
      <c r="BG34" t="e">
        <f t="shared" ref="BG34:BG45" si="76">(1-BF34/AH34)^2</f>
        <v>#VALUE!</v>
      </c>
      <c r="BH34" t="str">
        <f t="shared" ref="BH34:BH45" si="77">ev_THFaktor($U$16,BD34)</f>
        <v>Local funcId 1690017901696 not found</v>
      </c>
      <c r="BI34" t="e">
        <f>AVERAGE(BH34:BH45)</f>
        <v>#DIV/0!</v>
      </c>
      <c r="BJ34" s="10">
        <f>BK44</f>
        <v>6.6942834852764273E-11</v>
      </c>
      <c r="BK34" s="10" t="e">
        <f>BJ34/BI34</f>
        <v>#DIV/0!</v>
      </c>
      <c r="BW34">
        <v>0.7</v>
      </c>
      <c r="BX34" s="11">
        <f>LOG10(BJ79)</f>
        <v>-10.186597355786255</v>
      </c>
      <c r="BY34" s="11" t="e">
        <f>LOG10(BK79)</f>
        <v>#DIV/0!</v>
      </c>
    </row>
    <row r="35" spans="1:77" x14ac:dyDescent="0.25">
      <c r="A35">
        <v>15</v>
      </c>
      <c r="B35">
        <f t="shared" ref="B35:B45" si="78">A35*60</f>
        <v>900</v>
      </c>
      <c r="C35">
        <v>1.3100000000000001E-2</v>
      </c>
      <c r="D35">
        <v>6.7000000000000002E-3</v>
      </c>
      <c r="F35">
        <v>15</v>
      </c>
      <c r="G35">
        <v>1.34E-2</v>
      </c>
      <c r="H35">
        <v>7.0000000000000001E-3</v>
      </c>
      <c r="J35">
        <v>15</v>
      </c>
      <c r="K35">
        <v>1.37E-2</v>
      </c>
      <c r="L35">
        <v>7.1999999999999998E-3</v>
      </c>
      <c r="N35">
        <v>15</v>
      </c>
      <c r="O35">
        <f t="shared" ref="O35:O45" si="79">(C35+G35+K35)/3</f>
        <v>1.34E-2</v>
      </c>
      <c r="P35">
        <f t="shared" ref="P35:P45" si="80">(D35+H35+L35)/3</f>
        <v>6.966666666666667E-3</v>
      </c>
      <c r="Q35">
        <f t="shared" si="71"/>
        <v>2.4494897427831773E-4</v>
      </c>
      <c r="R35">
        <f t="shared" si="72"/>
        <v>2.054804667656324E-4</v>
      </c>
      <c r="Y35">
        <v>15</v>
      </c>
      <c r="Z35">
        <f t="shared" ref="Z35:Z45" si="81">((C35*$U$7)-(D35*$U$6))/(($U$7*$U$4)-($U$6*$U$5))</f>
        <v>1.08857323702166E-6</v>
      </c>
      <c r="AA35">
        <f t="shared" ref="AA35:AA45" si="82">((D35*$U$4)-(C35*$U$5))/(($U$7*$U$4)-($U$6*$U$5))</f>
        <v>1.074759353284985E-6</v>
      </c>
      <c r="AC35">
        <f t="shared" ref="AC35:AC45" si="83">((G35*$U$7)-(H35*$U$6))/(($U$7*$U$4)-($U$6*$U$5))</f>
        <v>1.0586323925435289E-6</v>
      </c>
      <c r="AD35">
        <f t="shared" ref="AD35:AD45" si="84">((H35*$U$4)-(G35*$U$5))/(($U$7*$U$4)-($U$6*$U$5))</f>
        <v>1.1248499796600961E-6</v>
      </c>
      <c r="AF35">
        <f t="shared" ref="AF35:AF45" si="85">((K35*$U$7)-(L35*$U$6))/(($U$7*$U$4)-($U$6*$U$5))</f>
        <v>1.0661288935742527E-6</v>
      </c>
      <c r="AG35">
        <f t="shared" ref="AG35:AG45" si="86">((L35*$U$4)-(K35*$U$5))/(($U$7*$U$4)-($U$6*$U$5))</f>
        <v>1.1575573039764333E-6</v>
      </c>
      <c r="AH35">
        <f t="shared" si="15"/>
        <v>2.190167053353652E-6</v>
      </c>
      <c r="AI35">
        <f t="shared" ref="AI35:AI45" si="87">(Z35+AC35+AF35)/3</f>
        <v>1.0711115077131472E-6</v>
      </c>
      <c r="AJ35">
        <f t="shared" ref="AJ35:AJ45" si="88">(AA35+AD35+AG35)/3</f>
        <v>1.1190555456405047E-6</v>
      </c>
      <c r="AK35">
        <f t="shared" si="18"/>
        <v>0.99999780983294662</v>
      </c>
      <c r="AL35">
        <f t="shared" ref="AL35:AL45" si="89">Z35*500000</f>
        <v>0.54428661851082993</v>
      </c>
      <c r="AM35">
        <f t="shared" ref="AM35:AM45" si="90">AA35*500000</f>
        <v>0.53737967664249253</v>
      </c>
      <c r="AN35">
        <f t="shared" ref="AN35:AN45" si="91">AL35/$U$21</f>
        <v>1.7197049558004107E-2</v>
      </c>
      <c r="AO35">
        <f t="shared" ref="AO35:AO45" si="92">AM35/$V$21</f>
        <v>1.6978820746998184E-2</v>
      </c>
      <c r="AP35">
        <f t="shared" ref="AP35:AP45" si="93">AC35*500000</f>
        <v>0.52931619627176441</v>
      </c>
      <c r="AQ35">
        <f t="shared" ref="AQ35:AQ45" si="94">AD35*500000</f>
        <v>0.56242498983004807</v>
      </c>
      <c r="AR35">
        <f t="shared" ref="AR35:AR45" si="95">AP35/$U$21</f>
        <v>1.6724050435126838E-2</v>
      </c>
      <c r="AS35">
        <f t="shared" ref="AS35:AS45" si="96">AQ35/$V$21</f>
        <v>1.7770141858769292E-2</v>
      </c>
      <c r="AT35">
        <f t="shared" ref="AT35:AT45" si="97">AF35*500000</f>
        <v>0.53306444678712639</v>
      </c>
      <c r="AU35">
        <f t="shared" ref="AU35:AU45" si="98">AG35*500000</f>
        <v>0.57877865198821665</v>
      </c>
      <c r="AV35">
        <f t="shared" ref="AV35:AV45" si="99">AT35/$U$21</f>
        <v>1.6842478571473189E-2</v>
      </c>
      <c r="AW35">
        <f t="shared" ref="AW35:AW45" si="100">AU35/$V$21</f>
        <v>1.8286845244493418E-2</v>
      </c>
      <c r="AX35">
        <f t="shared" ref="AX35:AX45" si="101">(AN35+AR35+AV35)/3</f>
        <v>1.6921192854868046E-2</v>
      </c>
      <c r="AY35">
        <f t="shared" ref="AY35:AY45" si="102">(AO35+AS35+AW35)/3</f>
        <v>1.7678602616753632E-2</v>
      </c>
      <c r="BB35">
        <f t="shared" si="73"/>
        <v>1.2720937459132528E-8</v>
      </c>
      <c r="BC35">
        <f t="shared" si="74"/>
        <v>3.4049539976152631E-8</v>
      </c>
      <c r="BD35" t="str">
        <v>Local funcId 1690017899200 not found</v>
      </c>
      <c r="BE35" t="e">
        <f t="shared" si="75"/>
        <v>#VALUE!</v>
      </c>
      <c r="BF35" t="e">
        <f t="shared" ref="BF35:BF45" si="103">BE35/$BK$15</f>
        <v>#VALUE!</v>
      </c>
      <c r="BG35" t="e">
        <f t="shared" si="76"/>
        <v>#VALUE!</v>
      </c>
      <c r="BH35" t="str">
        <f t="shared" si="77"/>
        <v>Local funcId 1690017901696 not found</v>
      </c>
      <c r="BN35" s="7"/>
      <c r="BO35" s="7"/>
    </row>
    <row r="36" spans="1:77" x14ac:dyDescent="0.25">
      <c r="A36">
        <v>30</v>
      </c>
      <c r="B36">
        <f t="shared" si="78"/>
        <v>1800</v>
      </c>
      <c r="C36">
        <v>1.9800000000000002E-2</v>
      </c>
      <c r="D36">
        <v>1.0800000000000001E-2</v>
      </c>
      <c r="F36">
        <v>30</v>
      </c>
      <c r="G36">
        <v>2.0899999999999998E-2</v>
      </c>
      <c r="H36">
        <v>1.15E-2</v>
      </c>
      <c r="J36">
        <v>30</v>
      </c>
      <c r="K36">
        <v>2.1899999999999999E-2</v>
      </c>
      <c r="L36">
        <v>1.2200000000000001E-2</v>
      </c>
      <c r="N36">
        <v>30</v>
      </c>
      <c r="O36">
        <f t="shared" si="79"/>
        <v>2.0866666666666669E-2</v>
      </c>
      <c r="P36">
        <f t="shared" si="80"/>
        <v>1.1500000000000002E-2</v>
      </c>
      <c r="Q36">
        <f t="shared" si="71"/>
        <v>8.5764535535123962E-4</v>
      </c>
      <c r="R36">
        <f t="shared" si="72"/>
        <v>5.7154760664940827E-4</v>
      </c>
      <c r="Y36">
        <v>30</v>
      </c>
      <c r="Z36">
        <f t="shared" si="81"/>
        <v>1.3932653602402929E-6</v>
      </c>
      <c r="AA36">
        <f t="shared" si="82"/>
        <v>1.7414841554676774E-6</v>
      </c>
      <c r="AC36">
        <f t="shared" si="83"/>
        <v>1.4332316458558978E-6</v>
      </c>
      <c r="AD36">
        <f t="shared" si="84"/>
        <v>1.8556165772746553E-6</v>
      </c>
      <c r="AF36">
        <f t="shared" si="85"/>
        <v>1.445740867455358E-6</v>
      </c>
      <c r="AG36">
        <f t="shared" si="86"/>
        <v>1.9704354256820372E-6</v>
      </c>
      <c r="AH36">
        <f t="shared" si="15"/>
        <v>3.2799246773253057E-6</v>
      </c>
      <c r="AI36">
        <f t="shared" si="87"/>
        <v>1.4240792911838496E-6</v>
      </c>
      <c r="AJ36">
        <f t="shared" si="88"/>
        <v>1.8558453861414564E-6</v>
      </c>
      <c r="AK36">
        <f t="shared" si="18"/>
        <v>0.9999967200753227</v>
      </c>
      <c r="AL36">
        <f t="shared" si="89"/>
        <v>0.69663268012014645</v>
      </c>
      <c r="AM36">
        <f t="shared" si="90"/>
        <v>0.87074207773383872</v>
      </c>
      <c r="AN36">
        <f t="shared" si="91"/>
        <v>2.2010511220225796E-2</v>
      </c>
      <c r="AO36">
        <f t="shared" si="92"/>
        <v>2.751159803266473E-2</v>
      </c>
      <c r="AP36">
        <f t="shared" si="93"/>
        <v>0.7166158229279489</v>
      </c>
      <c r="AQ36">
        <f t="shared" si="94"/>
        <v>0.92780828863732767</v>
      </c>
      <c r="AR36">
        <f t="shared" si="95"/>
        <v>2.26418901399036E-2</v>
      </c>
      <c r="AS36">
        <f t="shared" si="96"/>
        <v>2.9314637871637527E-2</v>
      </c>
      <c r="AT36">
        <f t="shared" si="97"/>
        <v>0.72287043372767901</v>
      </c>
      <c r="AU36">
        <f t="shared" si="98"/>
        <v>0.98521771284101856</v>
      </c>
      <c r="AV36">
        <f t="shared" si="99"/>
        <v>2.2839508174650205E-2</v>
      </c>
      <c r="AW36">
        <f t="shared" si="100"/>
        <v>3.1128521732733606E-2</v>
      </c>
      <c r="AX36">
        <f t="shared" si="101"/>
        <v>2.2497303178259865E-2</v>
      </c>
      <c r="AY36">
        <f t="shared" si="102"/>
        <v>2.931825254567862E-2</v>
      </c>
      <c r="BB36">
        <f t="shared" si="73"/>
        <v>2.2379215229043989E-8</v>
      </c>
      <c r="BC36">
        <f t="shared" si="74"/>
        <v>9.3469104693530839E-8</v>
      </c>
      <c r="BD36" t="str">
        <v>Local funcId 1690017899200 not found</v>
      </c>
      <c r="BE36" t="e">
        <f t="shared" si="75"/>
        <v>#VALUE!</v>
      </c>
      <c r="BF36" t="e">
        <f t="shared" si="103"/>
        <v>#VALUE!</v>
      </c>
      <c r="BG36" t="e">
        <f t="shared" si="76"/>
        <v>#VALUE!</v>
      </c>
      <c r="BH36" t="str">
        <f t="shared" si="77"/>
        <v>Local funcId 1690017901696 not found</v>
      </c>
      <c r="BJ36" s="6" t="s">
        <v>69</v>
      </c>
      <c r="BK36" s="6"/>
      <c r="BN36" s="7"/>
      <c r="BO36" s="7"/>
    </row>
    <row r="37" spans="1:77" x14ac:dyDescent="0.25">
      <c r="A37">
        <v>65</v>
      </c>
      <c r="B37">
        <f t="shared" si="78"/>
        <v>3900</v>
      </c>
      <c r="C37">
        <v>3.44E-2</v>
      </c>
      <c r="D37">
        <v>2.01E-2</v>
      </c>
      <c r="F37">
        <v>65</v>
      </c>
      <c r="G37">
        <v>3.4700000000000002E-2</v>
      </c>
      <c r="H37">
        <v>2.07E-2</v>
      </c>
      <c r="J37">
        <v>65</v>
      </c>
      <c r="K37">
        <v>3.8800000000000001E-2</v>
      </c>
      <c r="L37">
        <v>2.3400000000000001E-2</v>
      </c>
      <c r="N37">
        <v>60</v>
      </c>
      <c r="O37">
        <f t="shared" si="79"/>
        <v>3.5966666666666668E-2</v>
      </c>
      <c r="P37">
        <f t="shared" si="80"/>
        <v>2.1400000000000002E-2</v>
      </c>
      <c r="Q37">
        <f t="shared" si="71"/>
        <v>2.0072092289766131E-3</v>
      </c>
      <c r="R37">
        <f t="shared" si="72"/>
        <v>1.4352700094407327E-3</v>
      </c>
      <c r="Y37">
        <v>60</v>
      </c>
      <c r="Z37">
        <f t="shared" si="81"/>
        <v>1.9203235742738871E-6</v>
      </c>
      <c r="AA37">
        <f t="shared" si="82"/>
        <v>3.257912963274732E-6</v>
      </c>
      <c r="AC37">
        <f t="shared" si="83"/>
        <v>1.7780706932691893E-6</v>
      </c>
      <c r="AD37">
        <f t="shared" si="84"/>
        <v>3.360153495826165E-6</v>
      </c>
      <c r="AF37">
        <f t="shared" si="85"/>
        <v>1.8930019891920315E-6</v>
      </c>
      <c r="AG37">
        <f t="shared" si="86"/>
        <v>3.8013591607965153E-6</v>
      </c>
      <c r="AH37">
        <f t="shared" si="15"/>
        <v>5.3369406255441729E-6</v>
      </c>
      <c r="AI37">
        <f t="shared" si="87"/>
        <v>1.863798752245036E-6</v>
      </c>
      <c r="AJ37">
        <f t="shared" si="88"/>
        <v>3.4731418732991373E-6</v>
      </c>
      <c r="AK37">
        <f t="shared" si="18"/>
        <v>0.99999466305937446</v>
      </c>
      <c r="AL37">
        <f t="shared" si="89"/>
        <v>0.96016178713694356</v>
      </c>
      <c r="AM37">
        <f t="shared" si="90"/>
        <v>1.6289564816373661</v>
      </c>
      <c r="AN37">
        <f t="shared" si="91"/>
        <v>3.0336865312383682E-2</v>
      </c>
      <c r="AO37">
        <f t="shared" si="92"/>
        <v>5.1467819325035268E-2</v>
      </c>
      <c r="AP37">
        <f t="shared" si="93"/>
        <v>0.8890353466345946</v>
      </c>
      <c r="AQ37">
        <f t="shared" si="94"/>
        <v>1.6800767479130825</v>
      </c>
      <c r="AR37">
        <f t="shared" si="95"/>
        <v>2.8089584411835535E-2</v>
      </c>
      <c r="AS37">
        <f t="shared" si="96"/>
        <v>5.3082993614947317E-2</v>
      </c>
      <c r="AT37">
        <f t="shared" si="97"/>
        <v>0.94650099459601578</v>
      </c>
      <c r="AU37">
        <f t="shared" si="98"/>
        <v>1.9006795803982577</v>
      </c>
      <c r="AV37">
        <f t="shared" si="99"/>
        <v>2.9905244694976803E-2</v>
      </c>
      <c r="AW37">
        <f t="shared" si="100"/>
        <v>6.0053067311161383E-2</v>
      </c>
      <c r="AX37">
        <f t="shared" si="101"/>
        <v>2.944389813973201E-2</v>
      </c>
      <c r="AY37">
        <f t="shared" si="102"/>
        <v>5.4867960083714661E-2</v>
      </c>
      <c r="BB37">
        <f t="shared" si="73"/>
        <v>6.1636527723263556E-8</v>
      </c>
      <c r="BC37">
        <f t="shared" si="74"/>
        <v>2.3580814586325957E-7</v>
      </c>
      <c r="BD37" t="str">
        <v>Local funcId 1690017899200 not found</v>
      </c>
      <c r="BE37" t="e">
        <f t="shared" si="75"/>
        <v>#VALUE!</v>
      </c>
      <c r="BF37" t="e">
        <f t="shared" si="103"/>
        <v>#VALUE!</v>
      </c>
      <c r="BG37" t="e">
        <f t="shared" si="76"/>
        <v>#VALUE!</v>
      </c>
      <c r="BH37" t="str">
        <f t="shared" si="77"/>
        <v>Local funcId 1690017901696 not found</v>
      </c>
      <c r="BJ37" t="s">
        <v>70</v>
      </c>
      <c r="BK37" s="7">
        <v>1E-4</v>
      </c>
      <c r="BN37" s="7"/>
      <c r="BO37" s="7"/>
    </row>
    <row r="38" spans="1:77" x14ac:dyDescent="0.25">
      <c r="A38">
        <v>90</v>
      </c>
      <c r="B38">
        <f t="shared" si="78"/>
        <v>5400</v>
      </c>
      <c r="C38">
        <v>4.3200000000000002E-2</v>
      </c>
      <c r="D38">
        <v>2.63E-2</v>
      </c>
      <c r="F38">
        <v>90</v>
      </c>
      <c r="G38">
        <v>4.2299999999999997E-2</v>
      </c>
      <c r="H38">
        <v>2.5499999999999998E-2</v>
      </c>
      <c r="J38">
        <v>90</v>
      </c>
      <c r="K38">
        <v>4.7600000000000003E-2</v>
      </c>
      <c r="L38">
        <v>2.98E-2</v>
      </c>
      <c r="N38">
        <v>90</v>
      </c>
      <c r="O38">
        <f t="shared" si="79"/>
        <v>4.4366666666666665E-2</v>
      </c>
      <c r="P38">
        <f t="shared" si="80"/>
        <v>2.7200000000000002E-2</v>
      </c>
      <c r="Q38">
        <f t="shared" si="71"/>
        <v>2.3156472577277897E-3</v>
      </c>
      <c r="R38">
        <f t="shared" si="72"/>
        <v>1.8672618098881228E-3</v>
      </c>
      <c r="Y38">
        <v>90</v>
      </c>
      <c r="Z38">
        <f t="shared" si="81"/>
        <v>2.0154297861455987E-6</v>
      </c>
      <c r="AA38">
        <f t="shared" si="82"/>
        <v>4.2752721500832027E-6</v>
      </c>
      <c r="AC38">
        <f t="shared" si="83"/>
        <v>2.0678149740711379E-6</v>
      </c>
      <c r="AD38">
        <f t="shared" si="84"/>
        <v>4.1423835730166433E-6</v>
      </c>
      <c r="AF38">
        <f t="shared" si="85"/>
        <v>1.9132335100460345E-6</v>
      </c>
      <c r="AG38">
        <f t="shared" si="86"/>
        <v>4.853484951722533E-6</v>
      </c>
      <c r="AH38">
        <f t="shared" si="15"/>
        <v>6.4225396483617167E-6</v>
      </c>
      <c r="AI38">
        <f t="shared" si="87"/>
        <v>1.9988260900875902E-6</v>
      </c>
      <c r="AJ38">
        <f t="shared" si="88"/>
        <v>4.4237135582741261E-6</v>
      </c>
      <c r="AK38">
        <f t="shared" si="18"/>
        <v>0.99999357746035167</v>
      </c>
      <c r="AL38">
        <f t="shared" si="89"/>
        <v>1.0077148930727993</v>
      </c>
      <c r="AM38">
        <f t="shared" si="90"/>
        <v>2.1376360750416015</v>
      </c>
      <c r="AN38">
        <f t="shared" si="91"/>
        <v>3.1839333114464435E-2</v>
      </c>
      <c r="AO38">
        <f t="shared" si="92"/>
        <v>6.7539844393099582E-2</v>
      </c>
      <c r="AP38">
        <f t="shared" si="93"/>
        <v>1.0339074870355689</v>
      </c>
      <c r="AQ38">
        <f t="shared" si="94"/>
        <v>2.0711917865083218</v>
      </c>
      <c r="AR38">
        <f t="shared" si="95"/>
        <v>3.266690322387264E-2</v>
      </c>
      <c r="AS38">
        <f t="shared" si="96"/>
        <v>6.5440498783833234E-2</v>
      </c>
      <c r="AT38">
        <f t="shared" si="97"/>
        <v>0.95661675502301724</v>
      </c>
      <c r="AU38">
        <f t="shared" si="98"/>
        <v>2.4267424758612663</v>
      </c>
      <c r="AV38">
        <f t="shared" si="99"/>
        <v>3.0224857978610339E-2</v>
      </c>
      <c r="AW38">
        <f t="shared" si="100"/>
        <v>7.6674327831319639E-2</v>
      </c>
      <c r="AX38">
        <f t="shared" si="101"/>
        <v>3.1577031438982474E-2</v>
      </c>
      <c r="AY38">
        <f t="shared" si="102"/>
        <v>6.9884890336084152E-2</v>
      </c>
      <c r="BB38">
        <f t="shared" si="73"/>
        <v>6.4190442160424066E-8</v>
      </c>
      <c r="BC38">
        <f t="shared" si="74"/>
        <v>3.0869880838624625E-7</v>
      </c>
      <c r="BD38" t="str">
        <v>Local funcId 1690017899200 not found</v>
      </c>
      <c r="BE38" t="e">
        <f t="shared" si="75"/>
        <v>#VALUE!</v>
      </c>
      <c r="BF38" t="e">
        <f t="shared" si="103"/>
        <v>#VALUE!</v>
      </c>
      <c r="BG38" t="e">
        <f t="shared" si="76"/>
        <v>#VALUE!</v>
      </c>
      <c r="BH38" t="str">
        <f t="shared" si="77"/>
        <v>Local funcId 1690017901696 not found</v>
      </c>
      <c r="BJ38" t="s">
        <v>119</v>
      </c>
      <c r="BK38">
        <f>1-BK41/($BK$45+BK41)</f>
        <v>0.99987334702721464</v>
      </c>
    </row>
    <row r="39" spans="1:77" x14ac:dyDescent="0.25">
      <c r="A39">
        <v>125</v>
      </c>
      <c r="B39">
        <f t="shared" si="78"/>
        <v>7500</v>
      </c>
      <c r="C39">
        <v>5.6300000000000003E-2</v>
      </c>
      <c r="D39">
        <v>3.5799999999999998E-2</v>
      </c>
      <c r="F39">
        <v>125</v>
      </c>
      <c r="G39">
        <v>5.8000000000000003E-2</v>
      </c>
      <c r="H39">
        <v>3.7100000000000001E-2</v>
      </c>
      <c r="J39">
        <v>125</v>
      </c>
      <c r="K39">
        <v>6.0900000000000003E-2</v>
      </c>
      <c r="L39">
        <v>3.9199999999999999E-2</v>
      </c>
      <c r="N39">
        <v>120</v>
      </c>
      <c r="O39">
        <f t="shared" si="79"/>
        <v>5.8400000000000007E-2</v>
      </c>
      <c r="P39">
        <f t="shared" si="80"/>
        <v>3.7366666666666666E-2</v>
      </c>
      <c r="Q39">
        <f t="shared" si="71"/>
        <v>1.8991226044325488E-3</v>
      </c>
      <c r="R39">
        <f t="shared" si="72"/>
        <v>1.4007934259633796E-3</v>
      </c>
      <c r="Y39">
        <v>120</v>
      </c>
      <c r="Z39">
        <f t="shared" si="81"/>
        <v>2.0557573489193138E-6</v>
      </c>
      <c r="AA39">
        <f t="shared" si="82"/>
        <v>5.8367639610138581E-6</v>
      </c>
      <c r="AC39">
        <f t="shared" si="83"/>
        <v>2.0358419455786549E-6</v>
      </c>
      <c r="AD39">
        <f t="shared" si="84"/>
        <v>6.0510776355710601E-6</v>
      </c>
      <c r="AF39">
        <f t="shared" si="85"/>
        <v>2.04591254636089E-6</v>
      </c>
      <c r="AG39">
        <f t="shared" si="86"/>
        <v>6.3962206073936092E-6</v>
      </c>
      <c r="AH39">
        <f t="shared" si="15"/>
        <v>8.1405246816124627E-6</v>
      </c>
      <c r="AI39">
        <f t="shared" si="87"/>
        <v>2.0458372802862862E-6</v>
      </c>
      <c r="AJ39">
        <f t="shared" si="88"/>
        <v>6.0946874013261769E-6</v>
      </c>
      <c r="AK39">
        <f t="shared" si="18"/>
        <v>0.99999185947531843</v>
      </c>
      <c r="AL39">
        <f t="shared" si="89"/>
        <v>1.0278786744596569</v>
      </c>
      <c r="AM39">
        <f t="shared" si="90"/>
        <v>2.9183819805069291</v>
      </c>
      <c r="AN39">
        <f t="shared" si="91"/>
        <v>3.2476419414207168E-2</v>
      </c>
      <c r="AO39">
        <f t="shared" si="92"/>
        <v>9.2207961469413249E-2</v>
      </c>
      <c r="AP39">
        <f t="shared" si="93"/>
        <v>1.0179209727893275</v>
      </c>
      <c r="AQ39">
        <f t="shared" si="94"/>
        <v>3.02553881778553</v>
      </c>
      <c r="AR39">
        <f t="shared" si="95"/>
        <v>3.216180008813041E-2</v>
      </c>
      <c r="AS39">
        <f t="shared" si="96"/>
        <v>9.5593643531928285E-2</v>
      </c>
      <c r="AT39">
        <f t="shared" si="97"/>
        <v>1.0229562731804449</v>
      </c>
      <c r="AU39">
        <f t="shared" si="98"/>
        <v>3.1981103036968044</v>
      </c>
      <c r="AV39">
        <f t="shared" si="99"/>
        <v>3.2320893307439022E-2</v>
      </c>
      <c r="AW39">
        <f t="shared" si="100"/>
        <v>0.1010461391373398</v>
      </c>
      <c r="AX39">
        <f t="shared" si="101"/>
        <v>3.2319704269925538E-2</v>
      </c>
      <c r="AY39">
        <f t="shared" si="102"/>
        <v>9.6282581379560431E-2</v>
      </c>
      <c r="BB39">
        <f t="shared" si="73"/>
        <v>8.1306035565949691E-9</v>
      </c>
      <c r="BC39">
        <f t="shared" si="74"/>
        <v>2.3046951142762392E-7</v>
      </c>
      <c r="BD39" t="str">
        <v>Local funcId 1690017899200 not found</v>
      </c>
      <c r="BE39" t="e">
        <f t="shared" si="75"/>
        <v>#VALUE!</v>
      </c>
      <c r="BF39" t="e">
        <f t="shared" si="103"/>
        <v>#VALUE!</v>
      </c>
      <c r="BG39" t="e">
        <f t="shared" si="76"/>
        <v>#VALUE!</v>
      </c>
      <c r="BH39" t="str">
        <f t="shared" si="77"/>
        <v>Local funcId 1690017901696 not found</v>
      </c>
      <c r="BJ39" t="s">
        <v>73</v>
      </c>
      <c r="BK39">
        <v>1E-3</v>
      </c>
    </row>
    <row r="40" spans="1:77" x14ac:dyDescent="0.25">
      <c r="A40">
        <v>150</v>
      </c>
      <c r="B40">
        <f t="shared" si="78"/>
        <v>9000</v>
      </c>
      <c r="C40">
        <v>6.5199999999999994E-2</v>
      </c>
      <c r="D40">
        <v>4.2200000000000001E-2</v>
      </c>
      <c r="F40">
        <v>150</v>
      </c>
      <c r="G40">
        <v>6.6600000000000006E-2</v>
      </c>
      <c r="H40">
        <v>4.3499999999999997E-2</v>
      </c>
      <c r="J40">
        <v>150</v>
      </c>
      <c r="K40">
        <v>6.7699999999999996E-2</v>
      </c>
      <c r="L40">
        <v>4.4200000000000003E-2</v>
      </c>
      <c r="N40">
        <v>150</v>
      </c>
      <c r="O40">
        <f t="shared" si="79"/>
        <v>6.6500000000000004E-2</v>
      </c>
      <c r="P40">
        <f t="shared" si="80"/>
        <v>4.3300000000000005E-2</v>
      </c>
      <c r="Q40">
        <f t="shared" si="71"/>
        <v>1.0230672835481885E-3</v>
      </c>
      <c r="R40">
        <f t="shared" si="72"/>
        <v>8.2865352631040384E-4</v>
      </c>
      <c r="Y40">
        <v>150</v>
      </c>
      <c r="Z40">
        <f t="shared" si="81"/>
        <v>2.1034459337894539E-6</v>
      </c>
      <c r="AA40">
        <f t="shared" si="82"/>
        <v>6.8882033253394735E-6</v>
      </c>
      <c r="AC40">
        <f t="shared" si="83"/>
        <v>2.0011593384003705E-6</v>
      </c>
      <c r="AD40">
        <f t="shared" si="84"/>
        <v>7.1045762796978854E-6</v>
      </c>
      <c r="AF40">
        <f t="shared" si="85"/>
        <v>2.0411256240159704E-6</v>
      </c>
      <c r="AG40">
        <f t="shared" si="86"/>
        <v>7.2187087015048648E-6</v>
      </c>
      <c r="AH40">
        <f t="shared" si="15"/>
        <v>9.1190730675826734E-6</v>
      </c>
      <c r="AI40">
        <f t="shared" si="87"/>
        <v>2.0485769654019315E-6</v>
      </c>
      <c r="AJ40">
        <f t="shared" si="88"/>
        <v>7.0704961021807415E-6</v>
      </c>
      <c r="AK40">
        <f t="shared" si="18"/>
        <v>0.99999088092693245</v>
      </c>
      <c r="AL40">
        <f t="shared" si="89"/>
        <v>1.051722966894727</v>
      </c>
      <c r="AM40">
        <f t="shared" si="90"/>
        <v>3.4441016626697367</v>
      </c>
      <c r="AN40">
        <f t="shared" si="91"/>
        <v>3.322979358277179E-2</v>
      </c>
      <c r="AO40">
        <f t="shared" si="92"/>
        <v>0.10881837796744824</v>
      </c>
      <c r="AP40">
        <f t="shared" si="93"/>
        <v>1.0005796692001854</v>
      </c>
      <c r="AQ40">
        <f t="shared" si="94"/>
        <v>3.5522881398489425</v>
      </c>
      <c r="AR40">
        <f t="shared" si="95"/>
        <v>3.1613891601901596E-2</v>
      </c>
      <c r="AS40">
        <f t="shared" si="96"/>
        <v>0.1122365920963331</v>
      </c>
      <c r="AT40">
        <f t="shared" si="97"/>
        <v>1.0205628120079853</v>
      </c>
      <c r="AU40">
        <f t="shared" si="98"/>
        <v>3.6093543507524326</v>
      </c>
      <c r="AV40">
        <f t="shared" si="99"/>
        <v>3.2245270521579314E-2</v>
      </c>
      <c r="AW40">
        <f t="shared" si="100"/>
        <v>0.11403963193530593</v>
      </c>
      <c r="AX40">
        <f t="shared" si="101"/>
        <v>3.2362985235417564E-2</v>
      </c>
      <c r="AY40">
        <f t="shared" si="102"/>
        <v>0.11169820066636242</v>
      </c>
      <c r="BB40">
        <f t="shared" si="73"/>
        <v>4.2089418823976136E-8</v>
      </c>
      <c r="BC40">
        <f t="shared" si="74"/>
        <v>1.3706335467769822E-7</v>
      </c>
      <c r="BD40" t="str">
        <v>Local funcId 1690017899200 not found</v>
      </c>
      <c r="BE40" t="e">
        <f t="shared" si="75"/>
        <v>#VALUE!</v>
      </c>
      <c r="BF40" t="e">
        <f t="shared" si="103"/>
        <v>#VALUE!</v>
      </c>
      <c r="BG40" t="e">
        <f t="shared" si="76"/>
        <v>#VALUE!</v>
      </c>
      <c r="BH40" t="str">
        <f t="shared" si="77"/>
        <v>Local funcId 1690017901696 not found</v>
      </c>
      <c r="BJ40" t="s">
        <v>74</v>
      </c>
      <c r="BK40">
        <f>PI()/4*0.008^2</f>
        <v>5.0265482457436686E-5</v>
      </c>
    </row>
    <row r="41" spans="1:77" x14ac:dyDescent="0.25">
      <c r="A41">
        <v>180</v>
      </c>
      <c r="B41">
        <f t="shared" si="78"/>
        <v>10800</v>
      </c>
      <c r="C41">
        <v>7.4200000000000002E-2</v>
      </c>
      <c r="D41">
        <v>4.87E-2</v>
      </c>
      <c r="F41">
        <v>180</v>
      </c>
      <c r="G41">
        <v>7.4499999999999997E-2</v>
      </c>
      <c r="H41">
        <v>5.0500000000000003E-2</v>
      </c>
      <c r="J41">
        <v>180</v>
      </c>
      <c r="K41">
        <v>7.5700000000000003E-2</v>
      </c>
      <c r="L41">
        <v>4.9599999999999998E-2</v>
      </c>
      <c r="N41">
        <v>180</v>
      </c>
      <c r="O41">
        <f t="shared" si="79"/>
        <v>7.4799999999999991E-2</v>
      </c>
      <c r="P41">
        <f t="shared" si="80"/>
        <v>4.9600000000000005E-2</v>
      </c>
      <c r="Q41">
        <f t="shared" si="71"/>
        <v>6.4807406984078745E-4</v>
      </c>
      <c r="R41">
        <f t="shared" si="72"/>
        <v>7.3484692283495466E-4</v>
      </c>
      <c r="Y41">
        <v>180</v>
      </c>
      <c r="Z41">
        <f t="shared" si="81"/>
        <v>2.1411542371668941E-6</v>
      </c>
      <c r="AA41">
        <f t="shared" si="82"/>
        <v>7.9563395651234591E-6</v>
      </c>
      <c r="AC41">
        <f t="shared" si="83"/>
        <v>1.5496532100559303E-6</v>
      </c>
      <c r="AD41">
        <f t="shared" si="84"/>
        <v>8.2671797223801807E-6</v>
      </c>
      <c r="AF41">
        <f t="shared" si="85"/>
        <v>2.2160740878293702E-6</v>
      </c>
      <c r="AG41">
        <f t="shared" si="86"/>
        <v>8.1024928846463708E-6</v>
      </c>
      <c r="AH41">
        <f t="shared" si="15"/>
        <v>1.0077631235734068E-5</v>
      </c>
      <c r="AI41">
        <f t="shared" si="87"/>
        <v>1.9689605116840648E-6</v>
      </c>
      <c r="AJ41">
        <f t="shared" si="88"/>
        <v>8.108670724050003E-6</v>
      </c>
      <c r="AK41">
        <f t="shared" si="18"/>
        <v>0.99998992236876427</v>
      </c>
      <c r="AL41">
        <f t="shared" si="89"/>
        <v>1.0705771185834472</v>
      </c>
      <c r="AM41">
        <f t="shared" si="90"/>
        <v>3.9781697825617295</v>
      </c>
      <c r="AN41">
        <f t="shared" si="91"/>
        <v>3.3825501377044147E-2</v>
      </c>
      <c r="AO41">
        <f t="shared" si="92"/>
        <v>0.12569256816940694</v>
      </c>
      <c r="AP41">
        <f t="shared" si="93"/>
        <v>0.77482660502796519</v>
      </c>
      <c r="AQ41">
        <f t="shared" si="94"/>
        <v>4.1335898611900905</v>
      </c>
      <c r="AR41">
        <f t="shared" si="95"/>
        <v>2.4481093365812487E-2</v>
      </c>
      <c r="AS41">
        <f t="shared" si="96"/>
        <v>0.13060315517188281</v>
      </c>
      <c r="AT41">
        <f t="shared" si="97"/>
        <v>1.1080370439146852</v>
      </c>
      <c r="AU41">
        <f t="shared" si="98"/>
        <v>4.0512464423231851</v>
      </c>
      <c r="AV41">
        <f t="shared" si="99"/>
        <v>3.5009069317999533E-2</v>
      </c>
      <c r="AW41">
        <f t="shared" si="100"/>
        <v>0.12800146737198057</v>
      </c>
      <c r="AX41">
        <f t="shared" si="101"/>
        <v>3.1105221353618723E-2</v>
      </c>
      <c r="AY41">
        <f t="shared" si="102"/>
        <v>0.1280990635710901</v>
      </c>
      <c r="BB41">
        <f t="shared" si="73"/>
        <v>2.9806845511819649E-7</v>
      </c>
      <c r="BC41">
        <f t="shared" si="74"/>
        <v>1.2697512910177506E-7</v>
      </c>
      <c r="BD41" t="str">
        <v>Local funcId 1690017899200 not found</v>
      </c>
      <c r="BE41" t="e">
        <f t="shared" si="75"/>
        <v>#VALUE!</v>
      </c>
      <c r="BF41" t="e">
        <f t="shared" si="103"/>
        <v>#VALUE!</v>
      </c>
      <c r="BG41" t="e">
        <f t="shared" si="76"/>
        <v>#VALUE!</v>
      </c>
      <c r="BH41" t="str">
        <f t="shared" si="77"/>
        <v>Local funcId 1690017901696 not found</v>
      </c>
      <c r="BJ41" t="s">
        <v>116</v>
      </c>
      <c r="BK41">
        <f>BK39*BK40*BK42</f>
        <v>6.3334507896370225E-5</v>
      </c>
    </row>
    <row r="42" spans="1:77" x14ac:dyDescent="0.25">
      <c r="A42">
        <v>210</v>
      </c>
      <c r="B42">
        <f t="shared" si="78"/>
        <v>12600</v>
      </c>
      <c r="C42">
        <v>8.8200000000000001E-2</v>
      </c>
      <c r="D42">
        <v>5.91E-2</v>
      </c>
      <c r="F42">
        <v>210</v>
      </c>
      <c r="G42">
        <v>8.6300000000000002E-2</v>
      </c>
      <c r="H42">
        <v>5.7500000000000002E-2</v>
      </c>
      <c r="J42">
        <v>210</v>
      </c>
      <c r="K42">
        <v>9.4299999999999995E-2</v>
      </c>
      <c r="L42">
        <v>6.3399999999999998E-2</v>
      </c>
      <c r="N42">
        <v>210</v>
      </c>
      <c r="O42">
        <f t="shared" si="79"/>
        <v>8.9599999999999999E-2</v>
      </c>
      <c r="P42">
        <f t="shared" si="80"/>
        <v>0.06</v>
      </c>
      <c r="Q42">
        <f t="shared" si="71"/>
        <v>3.4127212992957168E-3</v>
      </c>
      <c r="R42">
        <f t="shared" si="72"/>
        <v>2.4913182588073043E-3</v>
      </c>
      <c r="Y42">
        <v>210</v>
      </c>
      <c r="Z42">
        <f t="shared" si="81"/>
        <v>2.0916592665062094E-6</v>
      </c>
      <c r="AA42">
        <f t="shared" si="82"/>
        <v>9.668103255179451E-6</v>
      </c>
      <c r="AC42">
        <f t="shared" si="83"/>
        <v>2.1689725783411478E-6</v>
      </c>
      <c r="AD42">
        <f t="shared" si="84"/>
        <v>9.403012527646734E-6</v>
      </c>
      <c r="AF42">
        <f t="shared" si="85"/>
        <v>2.1567343146102616E-6</v>
      </c>
      <c r="AG42">
        <f t="shared" si="86"/>
        <v>1.0373713221082112E-5</v>
      </c>
      <c r="AH42">
        <f t="shared" si="15"/>
        <v>1.1954065054455307E-5</v>
      </c>
      <c r="AI42">
        <f t="shared" si="87"/>
        <v>2.1391220531525399E-6</v>
      </c>
      <c r="AJ42">
        <f t="shared" si="88"/>
        <v>9.8149430013027663E-6</v>
      </c>
      <c r="AK42">
        <f t="shared" si="18"/>
        <v>0.9999880459349455</v>
      </c>
      <c r="AL42">
        <f t="shared" si="89"/>
        <v>1.0458296332531047</v>
      </c>
      <c r="AM42">
        <f t="shared" si="90"/>
        <v>4.8340516275897256</v>
      </c>
      <c r="AN42">
        <f t="shared" si="91"/>
        <v>3.3043590308154971E-2</v>
      </c>
      <c r="AO42">
        <f t="shared" si="92"/>
        <v>0.152734648581034</v>
      </c>
      <c r="AP42">
        <f t="shared" si="93"/>
        <v>1.084486289170574</v>
      </c>
      <c r="AQ42">
        <f t="shared" si="94"/>
        <v>4.7015062638233669</v>
      </c>
      <c r="AR42">
        <f t="shared" si="95"/>
        <v>3.4264969642040254E-2</v>
      </c>
      <c r="AS42">
        <f t="shared" si="96"/>
        <v>0.14854680138462456</v>
      </c>
      <c r="AT42">
        <f t="shared" si="97"/>
        <v>1.0783671573051308</v>
      </c>
      <c r="AU42">
        <f t="shared" si="98"/>
        <v>5.1868566105410556</v>
      </c>
      <c r="AV42">
        <f t="shared" si="99"/>
        <v>3.4071632142342205E-2</v>
      </c>
      <c r="AW42">
        <f t="shared" si="100"/>
        <v>0.16388172545153415</v>
      </c>
      <c r="AX42">
        <f t="shared" si="101"/>
        <v>3.3793397364179141E-2</v>
      </c>
      <c r="AY42">
        <f t="shared" si="102"/>
        <v>0.15505439180573088</v>
      </c>
      <c r="BB42">
        <f t="shared" si="73"/>
        <v>3.393111513997121E-8</v>
      </c>
      <c r="BC42">
        <f t="shared" si="74"/>
        <v>4.0966359560021977E-7</v>
      </c>
      <c r="BD42" t="str">
        <v>Local funcId 1690017899200 not found</v>
      </c>
      <c r="BE42" t="e">
        <f t="shared" si="75"/>
        <v>#VALUE!</v>
      </c>
      <c r="BF42" t="e">
        <f t="shared" si="103"/>
        <v>#VALUE!</v>
      </c>
      <c r="BG42" t="e">
        <f t="shared" si="76"/>
        <v>#VALUE!</v>
      </c>
      <c r="BH42" t="str">
        <f t="shared" si="77"/>
        <v>Local funcId 1690017901696 not found</v>
      </c>
      <c r="BJ42" t="s">
        <v>83</v>
      </c>
      <c r="BK42">
        <v>1260</v>
      </c>
    </row>
    <row r="43" spans="1:77" x14ac:dyDescent="0.25">
      <c r="A43">
        <v>240</v>
      </c>
      <c r="B43">
        <f t="shared" si="78"/>
        <v>14400</v>
      </c>
      <c r="C43">
        <v>9.3700000000000006E-2</v>
      </c>
      <c r="D43">
        <v>6.2899999999999998E-2</v>
      </c>
      <c r="F43">
        <v>240</v>
      </c>
      <c r="G43">
        <v>9.9400000000000002E-2</v>
      </c>
      <c r="H43">
        <v>6.7000000000000004E-2</v>
      </c>
      <c r="J43">
        <v>240</v>
      </c>
      <c r="K43">
        <v>0.1038</v>
      </c>
      <c r="L43">
        <v>7.0300000000000001E-2</v>
      </c>
      <c r="N43">
        <v>240</v>
      </c>
      <c r="O43">
        <f t="shared" si="79"/>
        <v>9.8966666666666661E-2</v>
      </c>
      <c r="P43">
        <f t="shared" si="80"/>
        <v>6.6733333333333339E-2</v>
      </c>
      <c r="Q43">
        <f t="shared" si="71"/>
        <v>4.134677200889514E-3</v>
      </c>
      <c r="R43">
        <f t="shared" si="72"/>
        <v>3.0269162892657326E-3</v>
      </c>
      <c r="Y43">
        <v>240</v>
      </c>
      <c r="Z43">
        <f t="shared" si="81"/>
        <v>2.1791786580576725E-6</v>
      </c>
      <c r="AA43">
        <f t="shared" si="82"/>
        <v>1.0290915270390663E-5</v>
      </c>
      <c r="AC43">
        <f t="shared" si="83"/>
        <v>2.209300141114854E-6</v>
      </c>
      <c r="AD43">
        <f t="shared" si="84"/>
        <v>1.0964504338577394E-5</v>
      </c>
      <c r="AF43">
        <f t="shared" si="85"/>
        <v>2.1819785560330035E-6</v>
      </c>
      <c r="AG43">
        <f t="shared" si="86"/>
        <v>1.1507950536099176E-5</v>
      </c>
      <c r="AH43">
        <f t="shared" si="15"/>
        <v>1.3111275833424256E-5</v>
      </c>
      <c r="AI43">
        <f t="shared" si="87"/>
        <v>2.1901524517351765E-6</v>
      </c>
      <c r="AJ43">
        <f t="shared" si="88"/>
        <v>1.0921123381689079E-5</v>
      </c>
      <c r="AK43">
        <f t="shared" si="18"/>
        <v>0.99998688872416663</v>
      </c>
      <c r="AL43">
        <f t="shared" si="89"/>
        <v>1.0895893290288363</v>
      </c>
      <c r="AM43">
        <f t="shared" si="90"/>
        <v>5.1454576351953314</v>
      </c>
      <c r="AN43">
        <f t="shared" si="91"/>
        <v>3.4426203128873185E-2</v>
      </c>
      <c r="AO43">
        <f t="shared" si="92"/>
        <v>0.16257370095403892</v>
      </c>
      <c r="AP43">
        <f t="shared" si="93"/>
        <v>1.1046500705574269</v>
      </c>
      <c r="AQ43">
        <f t="shared" si="94"/>
        <v>5.4822521692886976</v>
      </c>
      <c r="AR43">
        <f t="shared" si="95"/>
        <v>3.490205594178284E-2</v>
      </c>
      <c r="AS43">
        <f t="shared" si="96"/>
        <v>0.17321491846093831</v>
      </c>
      <c r="AT43">
        <f t="shared" si="97"/>
        <v>1.0909892780165018</v>
      </c>
      <c r="AU43">
        <f t="shared" si="98"/>
        <v>5.7539752680495875</v>
      </c>
      <c r="AV43">
        <f t="shared" si="99"/>
        <v>3.4470435324376048E-2</v>
      </c>
      <c r="AW43">
        <f t="shared" si="100"/>
        <v>0.18180016644706437</v>
      </c>
      <c r="AX43">
        <f t="shared" si="101"/>
        <v>3.4599564798344022E-2</v>
      </c>
      <c r="AY43">
        <f t="shared" si="102"/>
        <v>0.17252959528734721</v>
      </c>
      <c r="BB43">
        <f t="shared" si="73"/>
        <v>1.3587625831457138E-8</v>
      </c>
      <c r="BC43">
        <f t="shared" si="74"/>
        <v>4.9779858045864087E-7</v>
      </c>
      <c r="BD43" t="str">
        <v>Local funcId 1690017899200 not found</v>
      </c>
      <c r="BE43" t="e">
        <f t="shared" si="75"/>
        <v>#VALUE!</v>
      </c>
      <c r="BF43" t="e">
        <f t="shared" si="103"/>
        <v>#VALUE!</v>
      </c>
      <c r="BG43" t="e">
        <f t="shared" si="76"/>
        <v>#VALUE!</v>
      </c>
      <c r="BH43" t="str">
        <f t="shared" si="77"/>
        <v>Local funcId 1690017901696 not found</v>
      </c>
      <c r="BJ43" t="s">
        <v>123</v>
      </c>
      <c r="BK43">
        <v>66.942834852764278</v>
      </c>
    </row>
    <row r="44" spans="1:77" x14ac:dyDescent="0.25">
      <c r="A44">
        <v>270</v>
      </c>
      <c r="B44">
        <f t="shared" si="78"/>
        <v>16200</v>
      </c>
      <c r="C44">
        <v>0.105</v>
      </c>
      <c r="D44">
        <v>7.1199999999999999E-2</v>
      </c>
      <c r="F44">
        <v>270</v>
      </c>
      <c r="G44">
        <v>0.1086</v>
      </c>
      <c r="H44">
        <v>7.3599999999999999E-2</v>
      </c>
      <c r="J44">
        <v>270</v>
      </c>
      <c r="K44">
        <v>0.1167</v>
      </c>
      <c r="L44">
        <v>8.0100000000000005E-2</v>
      </c>
      <c r="N44">
        <v>270</v>
      </c>
      <c r="O44">
        <f t="shared" si="79"/>
        <v>0.11010000000000002</v>
      </c>
      <c r="P44">
        <f t="shared" si="80"/>
        <v>7.4966666666666668E-2</v>
      </c>
      <c r="Q44">
        <f t="shared" si="71"/>
        <v>4.8928519290900273E-3</v>
      </c>
      <c r="R44">
        <f t="shared" si="72"/>
        <v>3.7597281225582751E-3</v>
      </c>
      <c r="Y44">
        <v>270</v>
      </c>
      <c r="Z44">
        <f t="shared" si="81"/>
        <v>2.1745272146470399E-6</v>
      </c>
      <c r="AA44">
        <f t="shared" si="82"/>
        <v>1.1656163135423298E-5</v>
      </c>
      <c r="AC44">
        <f t="shared" si="83"/>
        <v>2.2644852270157281E-6</v>
      </c>
      <c r="AD44">
        <f t="shared" si="84"/>
        <v>1.2048651027219344E-5</v>
      </c>
      <c r="AF44">
        <f t="shared" si="85"/>
        <v>2.0550799542478583E-6</v>
      </c>
      <c r="AG44">
        <f t="shared" si="86"/>
        <v>1.3122965106406961E-5</v>
      </c>
      <c r="AH44">
        <f t="shared" si="15"/>
        <v>1.4440623888320076E-5</v>
      </c>
      <c r="AI44">
        <f t="shared" si="87"/>
        <v>2.1646974653035417E-6</v>
      </c>
      <c r="AJ44">
        <f t="shared" si="88"/>
        <v>1.2275926423016534E-5</v>
      </c>
      <c r="AK44">
        <f t="shared" si="18"/>
        <v>0.99998555937611167</v>
      </c>
      <c r="AL44">
        <f t="shared" si="89"/>
        <v>1.08726360732352</v>
      </c>
      <c r="AM44">
        <f t="shared" si="90"/>
        <v>5.8280815677116493</v>
      </c>
      <c r="AN44">
        <f t="shared" si="91"/>
        <v>3.4352720610537756E-2</v>
      </c>
      <c r="AO44">
        <f t="shared" si="92"/>
        <v>0.18414159771600788</v>
      </c>
      <c r="AP44">
        <f t="shared" si="93"/>
        <v>1.132242613507864</v>
      </c>
      <c r="AQ44">
        <f t="shared" si="94"/>
        <v>6.0243255136096723</v>
      </c>
      <c r="AR44">
        <f t="shared" si="95"/>
        <v>3.5773858246693969E-2</v>
      </c>
      <c r="AS44">
        <f t="shared" si="96"/>
        <v>0.1903420383446974</v>
      </c>
      <c r="AT44">
        <f t="shared" si="97"/>
        <v>1.0275399771239291</v>
      </c>
      <c r="AU44">
        <f t="shared" si="98"/>
        <v>6.5614825532034802</v>
      </c>
      <c r="AV44">
        <f t="shared" si="99"/>
        <v>3.2465718076585437E-2</v>
      </c>
      <c r="AW44">
        <f t="shared" si="100"/>
        <v>0.20731382474576557</v>
      </c>
      <c r="AX44">
        <f t="shared" si="101"/>
        <v>3.419743231127239E-2</v>
      </c>
      <c r="AY44">
        <f t="shared" si="102"/>
        <v>0.19393248693549028</v>
      </c>
      <c r="BB44">
        <f t="shared" si="73"/>
        <v>8.5771440642611275E-8</v>
      </c>
      <c r="BC44">
        <f t="shared" si="74"/>
        <v>6.2000945405236451E-7</v>
      </c>
      <c r="BD44" t="str">
        <v>Local funcId 1690017899200 not found</v>
      </c>
      <c r="BE44" t="e">
        <f t="shared" si="75"/>
        <v>#VALUE!</v>
      </c>
      <c r="BF44" t="e">
        <f t="shared" si="103"/>
        <v>#VALUE!</v>
      </c>
      <c r="BG44" t="e">
        <f t="shared" si="76"/>
        <v>#VALUE!</v>
      </c>
      <c r="BH44" t="str">
        <f t="shared" si="77"/>
        <v>Local funcId 1690017901696 not found</v>
      </c>
      <c r="BJ44" t="s">
        <v>72</v>
      </c>
      <c r="BK44" s="10">
        <f>BK43*0.000000000001</f>
        <v>6.6942834852764273E-11</v>
      </c>
    </row>
    <row r="45" spans="1:77" x14ac:dyDescent="0.25">
      <c r="A45">
        <v>300</v>
      </c>
      <c r="B45">
        <f t="shared" si="78"/>
        <v>18000</v>
      </c>
      <c r="C45">
        <v>0.1157</v>
      </c>
      <c r="D45">
        <v>7.9100000000000004E-2</v>
      </c>
      <c r="F45">
        <v>300</v>
      </c>
      <c r="G45">
        <v>0.1198</v>
      </c>
      <c r="H45">
        <v>8.1600000000000006E-2</v>
      </c>
      <c r="J45">
        <v>300</v>
      </c>
      <c r="K45">
        <v>0.1275</v>
      </c>
      <c r="L45">
        <v>8.7499999999999994E-2</v>
      </c>
      <c r="N45">
        <v>300</v>
      </c>
      <c r="O45">
        <f t="shared" si="79"/>
        <v>0.121</v>
      </c>
      <c r="P45">
        <f t="shared" si="80"/>
        <v>8.2733333333333339E-2</v>
      </c>
      <c r="Q45">
        <f t="shared" si="71"/>
        <v>4.8914892074568336E-3</v>
      </c>
      <c r="R45">
        <f t="shared" si="72"/>
        <v>3.5216788925485801E-3</v>
      </c>
      <c r="Y45">
        <v>300</v>
      </c>
      <c r="Z45">
        <f t="shared" si="81"/>
        <v>2.1548827691749652E-6</v>
      </c>
      <c r="AA45">
        <f t="shared" si="82"/>
        <v>1.2955996351823258E-5</v>
      </c>
      <c r="AC45">
        <f t="shared" si="83"/>
        <v>2.3446887561155171E-6</v>
      </c>
      <c r="AD45">
        <f t="shared" si="84"/>
        <v>1.336243541267606E-5</v>
      </c>
      <c r="AF45">
        <f t="shared" si="85"/>
        <v>2.2500793003362066E-6</v>
      </c>
      <c r="AG45">
        <f t="shared" si="86"/>
        <v>1.4335195385912647E-5</v>
      </c>
      <c r="AH45">
        <f t="shared" si="15"/>
        <v>1.580109265867955E-5</v>
      </c>
      <c r="AI45">
        <f t="shared" si="87"/>
        <v>2.2498836085422295E-6</v>
      </c>
      <c r="AJ45">
        <f t="shared" si="88"/>
        <v>1.3551209050137321E-5</v>
      </c>
      <c r="AK45">
        <f t="shared" si="18"/>
        <v>0.99998419890734136</v>
      </c>
      <c r="AL45">
        <f t="shared" si="89"/>
        <v>1.0774413845874826</v>
      </c>
      <c r="AM45">
        <f t="shared" si="90"/>
        <v>6.4779981759116287</v>
      </c>
      <c r="AN45">
        <f t="shared" si="91"/>
        <v>3.4042381819509721E-2</v>
      </c>
      <c r="AO45">
        <f t="shared" si="92"/>
        <v>0.20467608770652856</v>
      </c>
      <c r="AP45">
        <f t="shared" si="93"/>
        <v>1.1723443780577585</v>
      </c>
      <c r="AQ45">
        <f t="shared" si="94"/>
        <v>6.68121770633803</v>
      </c>
      <c r="AR45">
        <f t="shared" si="95"/>
        <v>3.7040896621098218E-2</v>
      </c>
      <c r="AS45">
        <f t="shared" si="96"/>
        <v>0.21109692595064866</v>
      </c>
      <c r="AT45">
        <f t="shared" si="97"/>
        <v>1.1250396501681033</v>
      </c>
      <c r="AU45">
        <f t="shared" si="98"/>
        <v>7.1675976929563232</v>
      </c>
      <c r="AV45">
        <f t="shared" si="99"/>
        <v>3.5546276466606741E-2</v>
      </c>
      <c r="AW45">
        <f t="shared" si="100"/>
        <v>0.22646438208392808</v>
      </c>
      <c r="AX45">
        <f t="shared" si="101"/>
        <v>3.5543184969071558E-2</v>
      </c>
      <c r="AY45">
        <f t="shared" si="102"/>
        <v>0.21407913191370176</v>
      </c>
      <c r="BB45">
        <f t="shared" si="73"/>
        <v>7.7488093240522727E-8</v>
      </c>
      <c r="BC45">
        <f t="shared" si="74"/>
        <v>5.7866173685988187E-7</v>
      </c>
      <c r="BD45" t="str">
        <v>Local funcId 1690017899200 not found</v>
      </c>
      <c r="BE45" t="e">
        <f t="shared" si="75"/>
        <v>#VALUE!</v>
      </c>
      <c r="BF45" t="e">
        <f t="shared" si="103"/>
        <v>#VALUE!</v>
      </c>
      <c r="BG45" t="e">
        <f t="shared" si="76"/>
        <v>#VALUE!</v>
      </c>
      <c r="BH45" t="str">
        <f t="shared" si="77"/>
        <v>Local funcId 1690017901696 not found</v>
      </c>
      <c r="BJ45" t="s">
        <v>75</v>
      </c>
      <c r="BK45">
        <v>0.5</v>
      </c>
    </row>
    <row r="46" spans="1:77" x14ac:dyDescent="0.25">
      <c r="BF46" t="s">
        <v>79</v>
      </c>
      <c r="BG46" t="e">
        <f>SUM(BG34:BG45)</f>
        <v>#VALUE!</v>
      </c>
    </row>
    <row r="47" spans="1:77" x14ac:dyDescent="0.25">
      <c r="A47" s="14" t="s">
        <v>12</v>
      </c>
      <c r="B47" s="14"/>
      <c r="C47" s="14"/>
      <c r="D47" s="14"/>
      <c r="F47" s="14" t="s">
        <v>13</v>
      </c>
      <c r="G47" s="14"/>
      <c r="H47" s="14"/>
      <c r="J47" s="14" t="s">
        <v>14</v>
      </c>
      <c r="K47" s="14"/>
      <c r="L47" s="14"/>
      <c r="N47" s="18" t="s">
        <v>20</v>
      </c>
      <c r="O47" s="18"/>
      <c r="P47" s="18"/>
    </row>
    <row r="48" spans="1:77" ht="18" x14ac:dyDescent="0.35">
      <c r="A48" t="s">
        <v>0</v>
      </c>
      <c r="C48" t="s">
        <v>1</v>
      </c>
      <c r="D48" t="s">
        <v>2</v>
      </c>
      <c r="F48" t="s">
        <v>0</v>
      </c>
      <c r="G48" t="s">
        <v>1</v>
      </c>
      <c r="H48" t="s">
        <v>2</v>
      </c>
      <c r="J48" t="s">
        <v>0</v>
      </c>
      <c r="K48" t="s">
        <v>1</v>
      </c>
      <c r="L48" t="s">
        <v>2</v>
      </c>
      <c r="N48" t="s">
        <v>0</v>
      </c>
      <c r="O48" t="s">
        <v>1</v>
      </c>
      <c r="P48" t="s">
        <v>2</v>
      </c>
      <c r="Q48" t="s">
        <v>16</v>
      </c>
      <c r="R48" t="s">
        <v>17</v>
      </c>
      <c r="Y48" t="s">
        <v>0</v>
      </c>
      <c r="Z48" s="5" t="s">
        <v>47</v>
      </c>
      <c r="AA48" s="5" t="s">
        <v>48</v>
      </c>
      <c r="AB48" s="3"/>
      <c r="AC48" s="5" t="s">
        <v>49</v>
      </c>
      <c r="AD48" s="5" t="s">
        <v>50</v>
      </c>
      <c r="AF48" s="5" t="s">
        <v>51</v>
      </c>
      <c r="AG48" s="5" t="s">
        <v>52</v>
      </c>
      <c r="AH48" s="5" t="s">
        <v>81</v>
      </c>
      <c r="AI48" s="5" t="s">
        <v>32</v>
      </c>
      <c r="AJ48" s="5" t="s">
        <v>33</v>
      </c>
      <c r="AK48" s="5" t="s">
        <v>107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 t="s">
        <v>54</v>
      </c>
      <c r="BC48" s="5" t="s">
        <v>55</v>
      </c>
      <c r="BD48" s="5" t="s">
        <v>68</v>
      </c>
      <c r="BE48" s="5" t="s">
        <v>76</v>
      </c>
      <c r="BF48" s="5" t="s">
        <v>77</v>
      </c>
      <c r="BG48" s="5" t="s">
        <v>78</v>
      </c>
      <c r="BH48" s="5" t="s">
        <v>111</v>
      </c>
      <c r="BI48" s="5" t="s">
        <v>122</v>
      </c>
      <c r="BJ48" s="5" t="s">
        <v>85</v>
      </c>
      <c r="BK48" s="5" t="s">
        <v>124</v>
      </c>
    </row>
    <row r="49" spans="1:63" x14ac:dyDescent="0.25">
      <c r="A49">
        <v>5</v>
      </c>
      <c r="B49">
        <f>A49*60</f>
        <v>300</v>
      </c>
      <c r="C49">
        <v>7.4999999999999997E-3</v>
      </c>
      <c r="D49">
        <v>2.8E-3</v>
      </c>
      <c r="F49" s="1">
        <v>5</v>
      </c>
      <c r="G49" s="1">
        <v>6.8999999999999999E-3</v>
      </c>
      <c r="H49" s="1">
        <v>2.5999999999999999E-3</v>
      </c>
      <c r="J49">
        <v>5</v>
      </c>
      <c r="K49" s="1">
        <v>5.5999999999999999E-3</v>
      </c>
      <c r="L49" s="1">
        <v>3.3E-3</v>
      </c>
      <c r="N49">
        <v>5</v>
      </c>
      <c r="O49">
        <f>(C49+G49+K49)/3</f>
        <v>6.6666666666666671E-3</v>
      </c>
      <c r="P49">
        <f>(D49+H49+L49)/3</f>
        <v>2.8999999999999998E-3</v>
      </c>
      <c r="Q49">
        <f>_xlfn.STDEV.P(C49,G49,K49)</f>
        <v>7.9302515022468788E-4</v>
      </c>
      <c r="R49">
        <f>_xlfn.STDEV.P(D49,H49,L49)</f>
        <v>2.9439202887759491E-4</v>
      </c>
      <c r="Y49">
        <v>5</v>
      </c>
      <c r="Z49">
        <f>((C49*$U$7)-(D49*$U$6))/(($U$7*$U$4)-($U$6*$U$5))</f>
        <v>1.0110341269629092E-6</v>
      </c>
      <c r="AA49">
        <f>((D49*$U$4)-(C49*$U$5))/(($U$7*$U$4)-($U$6*$U$5))</f>
        <v>4.3525046261540095E-7</v>
      </c>
      <c r="AC49">
        <f>((G49*$U$7)-(H49*$U$6))/(($U$7*$U$4)-($U$6*$U$5))</f>
        <v>9.2116643388375115E-7</v>
      </c>
      <c r="AD49">
        <f>((H49*$U$4)-(G49*$U$5))/(($U$7*$U$4)-($U$6*$U$5))</f>
        <v>4.0460241810027461E-7</v>
      </c>
      <c r="AF49">
        <f>((K49*$U$7)-(L49*$U$6))/(($U$7*$U$4)-($U$6*$U$5))</f>
        <v>3.0216318311188258E-7</v>
      </c>
      <c r="AG49">
        <f>((L49*$U$4)-(K49*$U$5))/(($U$7*$U$4)-($U$6*$U$5))</f>
        <v>5.352090783169398E-7</v>
      </c>
      <c r="AH49">
        <f t="shared" si="15"/>
        <v>1.2031419009970528E-6</v>
      </c>
      <c r="AI49">
        <f>(Z49+AC49+AF49)/3</f>
        <v>7.4478791465284772E-7</v>
      </c>
      <c r="AJ49">
        <f>(AA49+AD49+AG49)/3</f>
        <v>4.583539863442051E-7</v>
      </c>
      <c r="AK49">
        <f t="shared" si="18"/>
        <v>0.999998796858099</v>
      </c>
      <c r="AL49">
        <f>Z49*500000</f>
        <v>0.50551706348145464</v>
      </c>
      <c r="AM49">
        <f>AA49*500000</f>
        <v>0.21762523130770048</v>
      </c>
      <c r="AN49">
        <f>AL49/$U$26</f>
        <v>6.3868232909848971E-2</v>
      </c>
      <c r="AO49">
        <f>AM49/$V$26</f>
        <v>2.7495291384422044E-2</v>
      </c>
      <c r="AP49">
        <f>AC49*500000</f>
        <v>0.4605832169418756</v>
      </c>
      <c r="AQ49">
        <f>AD49*500000</f>
        <v>0.20230120905013729</v>
      </c>
      <c r="AR49">
        <f>AP49/$U$26</f>
        <v>5.8191183441803615E-2</v>
      </c>
      <c r="AS49">
        <f>AQ49/$V$26</f>
        <v>2.5559217820611154E-2</v>
      </c>
      <c r="AT49">
        <f>AF49*500000</f>
        <v>0.15108159155594128</v>
      </c>
      <c r="AU49">
        <f>AG49*500000</f>
        <v>0.26760453915846988</v>
      </c>
      <c r="AV49">
        <f>AT49/$U$26</f>
        <v>1.9088009040548488E-2</v>
      </c>
      <c r="AW49">
        <f>AU49/$V$26</f>
        <v>3.3809796482434602E-2</v>
      </c>
      <c r="AX49">
        <f>(AN49+AR49+AV49)/3</f>
        <v>4.7049141797400357E-2</v>
      </c>
      <c r="AY49">
        <f>(AO49+AS49+AW49)/3</f>
        <v>2.8954768562489269E-2</v>
      </c>
      <c r="BB49">
        <f t="shared" ref="BB49:BB60" si="104">_xlfn.STDEV.P(Z49,AC49,AF49)</f>
        <v>3.1512594338732359E-7</v>
      </c>
      <c r="BC49">
        <f t="shared" ref="BC49:BC60" si="105">_xlfn.STDEV.P(AA49,AD49,AG49)</f>
        <v>5.5766504461330678E-8</v>
      </c>
      <c r="BD49" t="str">
        <f t="array" ref="BD49:BD60">Diffusion1D_xl(B49:B60,BK54,BK59,BK52,BK53)</f>
        <v>Local funcId 1690017899200 not found</v>
      </c>
      <c r="BE49" t="e">
        <f>BD49/(1-BD49)*$BK$56</f>
        <v>#VALUE!</v>
      </c>
      <c r="BF49" t="e">
        <f>BE49/$BK$60</f>
        <v>#VALUE!</v>
      </c>
      <c r="BG49" t="e">
        <f t="shared" ref="BG49:BG60" si="106">(1-BF49/AH49)^2</f>
        <v>#VALUE!</v>
      </c>
      <c r="BH49" t="str">
        <f t="shared" ref="BH49:BH60" si="107">ev_THFaktor($U$16,BD49)</f>
        <v>Local funcId 1690017901696 not found</v>
      </c>
      <c r="BI49" t="e">
        <f>AVERAGE(BH49:BH60)</f>
        <v>#DIV/0!</v>
      </c>
      <c r="BJ49" s="10">
        <f>BK59</f>
        <v>6.5832793335954259E-11</v>
      </c>
      <c r="BK49" s="10" t="e">
        <f>BJ49/BI49</f>
        <v>#DIV/0!</v>
      </c>
    </row>
    <row r="50" spans="1:63" x14ac:dyDescent="0.25">
      <c r="A50">
        <v>15</v>
      </c>
      <c r="B50">
        <f t="shared" ref="B50:B60" si="108">A50*60</f>
        <v>900</v>
      </c>
      <c r="C50">
        <v>1.37E-2</v>
      </c>
      <c r="D50">
        <v>6.0000000000000001E-3</v>
      </c>
      <c r="F50" s="1">
        <v>15</v>
      </c>
      <c r="G50" s="1">
        <v>1.14E-2</v>
      </c>
      <c r="H50" s="1">
        <v>5.3E-3</v>
      </c>
      <c r="J50">
        <v>15</v>
      </c>
      <c r="K50" s="1">
        <v>1.12E-2</v>
      </c>
      <c r="L50" s="1">
        <v>6.1000000000000004E-3</v>
      </c>
      <c r="N50">
        <v>15</v>
      </c>
      <c r="O50">
        <f t="shared" ref="O50:O60" si="109">(C50+G50+K50)/3</f>
        <v>1.21E-2</v>
      </c>
      <c r="P50">
        <f t="shared" ref="P50:P60" si="110">(D50+H50+L50)/3</f>
        <v>5.8000000000000005E-3</v>
      </c>
      <c r="Q50">
        <f t="shared" ref="Q50:Q60" si="111">_xlfn.STDEV.P(C50,G50,K50)</f>
        <v>1.1343133018115706E-3</v>
      </c>
      <c r="R50">
        <f t="shared" ref="R50:R60" si="112">_xlfn.STDEV.P(D50,H50,L50)</f>
        <v>3.5590260840104385E-4</v>
      </c>
      <c r="Y50">
        <v>15</v>
      </c>
      <c r="Z50">
        <f t="shared" ref="Z50:Z60" si="113">((C50*$U$7)-(D50*$U$6))/(($U$7*$U$4)-($U$6*$U$5))</f>
        <v>1.5153770396805155E-6</v>
      </c>
      <c r="AA50">
        <f t="shared" ref="AA50:AA60" si="114">((D50*$U$4)-(C50*$U$5))/(($U$7*$U$4)-($U$6*$U$5))</f>
        <v>9.4895767927114503E-7</v>
      </c>
      <c r="AC50">
        <f t="shared" ref="AC50:AC60" si="115">((G50*$U$7)-(H50*$U$6))/(($U$7*$U$4)-($U$6*$U$5))</f>
        <v>1.145925985871173E-6</v>
      </c>
      <c r="AD50">
        <f t="shared" ref="AD50:AD60" si="116">((H50*$U$4)-(G50*$U$5))/(($U$7*$U$4)-($U$6*$U$5))</f>
        <v>8.4306237666901004E-7</v>
      </c>
      <c r="AF50">
        <f t="shared" ref="AF50:AF60" si="117">((K50*$U$7)-(L50*$U$6))/(($U$7*$U$4)-($U$6*$U$5))</f>
        <v>7.9151309376804132E-7</v>
      </c>
      <c r="AG50">
        <f t="shared" ref="AG50:AG60" si="118">((L50*$U$4)-(K50*$U$5))/(($U$7*$U$4)-($U$6*$U$5))</f>
        <v>9.8350164634000943E-7</v>
      </c>
      <c r="AH50">
        <f t="shared" si="15"/>
        <v>2.0761126071999646E-6</v>
      </c>
      <c r="AI50">
        <f t="shared" ref="AI50:AI60" si="119">(Z50+AC50+AF50)/3</f>
        <v>1.1509387064399098E-6</v>
      </c>
      <c r="AJ50">
        <f t="shared" ref="AJ50:AJ60" si="120">(AA50+AD50+AG50)/3</f>
        <v>9.2517390076005487E-7</v>
      </c>
      <c r="AK50">
        <f t="shared" si="18"/>
        <v>0.99999792388739284</v>
      </c>
      <c r="AL50">
        <f t="shared" ref="AL50:AL60" si="121">Z50*500000</f>
        <v>0.75768851984025776</v>
      </c>
      <c r="AM50">
        <f t="shared" ref="AM50:AM60" si="122">AA50*500000</f>
        <v>0.47447883963557252</v>
      </c>
      <c r="AN50">
        <f t="shared" ref="AN50:AN60" si="123">AL50/$U$26</f>
        <v>9.5728176859160796E-2</v>
      </c>
      <c r="AO50">
        <f t="shared" ref="AO50:AO60" si="124">AM50/$V$26</f>
        <v>5.9946789593881555E-2</v>
      </c>
      <c r="AP50">
        <f t="shared" ref="AP50:AP60" si="125">AC50*500000</f>
        <v>0.5729629929355865</v>
      </c>
      <c r="AQ50">
        <f t="shared" ref="AQ50:AQ60" si="126">AD50*500000</f>
        <v>0.42153118833450504</v>
      </c>
      <c r="AR50">
        <f t="shared" ref="AR50:AR60" si="127">AP50/$U$26</f>
        <v>7.2389512689271823E-2</v>
      </c>
      <c r="AS50">
        <f t="shared" ref="AS50:AS60" si="128">AQ50/$V$26</f>
        <v>5.3257256896336709E-2</v>
      </c>
      <c r="AT50">
        <f t="shared" ref="AT50:AT60" si="129">AF50*500000</f>
        <v>0.39575654688402068</v>
      </c>
      <c r="AU50">
        <f t="shared" ref="AU50:AU60" si="130">AG50*500000</f>
        <v>0.49175082317000474</v>
      </c>
      <c r="AV50">
        <f t="shared" ref="AV50:AV60" si="131">AT50/$U$26</f>
        <v>5.0000827148960286E-2</v>
      </c>
      <c r="AW50">
        <f t="shared" ref="AW50:AW60" si="132">AU50/$V$26</f>
        <v>6.2128973236892572E-2</v>
      </c>
      <c r="AX50">
        <f t="shared" ref="AX50:AX60" si="133">(AN50+AR50+AV50)/3</f>
        <v>7.2706172232464297E-2</v>
      </c>
      <c r="AY50">
        <f t="shared" ref="AY50:AY60" si="134">(AO50+AS50+AW50)/3</f>
        <v>5.8444339909036941E-2</v>
      </c>
      <c r="BB50">
        <f t="shared" si="104"/>
        <v>2.9553747486415271E-7</v>
      </c>
      <c r="BC50">
        <f t="shared" si="105"/>
        <v>5.974974592207831E-8</v>
      </c>
      <c r="BD50" t="str">
        <v>Local funcId 1690017899200 not found</v>
      </c>
      <c r="BE50" t="e">
        <f t="shared" ref="BE50:BE60" si="135">BD50/(1-BD50)*$BK$56</f>
        <v>#VALUE!</v>
      </c>
      <c r="BF50" t="e">
        <f t="shared" ref="BF50:BF60" si="136">BE50/$BK$15</f>
        <v>#VALUE!</v>
      </c>
      <c r="BG50" t="e">
        <f t="shared" si="106"/>
        <v>#VALUE!</v>
      </c>
      <c r="BH50" t="str">
        <f t="shared" si="107"/>
        <v>Local funcId 1690017901696 not found</v>
      </c>
    </row>
    <row r="51" spans="1:63" x14ac:dyDescent="0.25">
      <c r="A51">
        <v>30</v>
      </c>
      <c r="B51">
        <f t="shared" si="108"/>
        <v>1800</v>
      </c>
      <c r="C51">
        <v>1.7600000000000001E-2</v>
      </c>
      <c r="D51">
        <v>8.6999999999999994E-3</v>
      </c>
      <c r="F51" s="1">
        <v>30</v>
      </c>
      <c r="G51" s="1">
        <v>1.47E-2</v>
      </c>
      <c r="H51" s="1">
        <v>7.0000000000000001E-3</v>
      </c>
      <c r="J51">
        <v>30</v>
      </c>
      <c r="K51" s="1">
        <v>1.7600000000000001E-2</v>
      </c>
      <c r="L51" s="1">
        <v>6.1000000000000004E-3</v>
      </c>
      <c r="N51">
        <v>30</v>
      </c>
      <c r="O51">
        <f t="shared" si="109"/>
        <v>1.6633333333333333E-2</v>
      </c>
      <c r="P51">
        <f t="shared" si="110"/>
        <v>7.2666666666666669E-3</v>
      </c>
      <c r="Q51">
        <f t="shared" si="111"/>
        <v>1.3670731102939926E-3</v>
      </c>
      <c r="R51">
        <f t="shared" si="112"/>
        <v>1.0780641085864149E-3</v>
      </c>
      <c r="Y51">
        <v>30</v>
      </c>
      <c r="Z51">
        <f t="shared" si="113"/>
        <v>1.5753942075710694E-6</v>
      </c>
      <c r="AA51">
        <f t="shared" si="114"/>
        <v>1.391536197442302E-6</v>
      </c>
      <c r="AC51">
        <f t="shared" si="115"/>
        <v>1.4155742247534097E-6</v>
      </c>
      <c r="AD51">
        <f t="shared" si="116"/>
        <v>1.115926433854849E-6</v>
      </c>
      <c r="AF51">
        <f t="shared" si="117"/>
        <v>2.5487651908013057E-6</v>
      </c>
      <c r="AG51">
        <f t="shared" si="118"/>
        <v>9.3957034391417795E-7</v>
      </c>
      <c r="AH51">
        <f t="shared" si="15"/>
        <v>2.9955888661123714E-6</v>
      </c>
      <c r="AI51">
        <f t="shared" si="119"/>
        <v>1.8465778743752619E-6</v>
      </c>
      <c r="AJ51">
        <f t="shared" si="120"/>
        <v>1.1490109917371095E-6</v>
      </c>
      <c r="AK51">
        <f t="shared" si="18"/>
        <v>0.99999700441113393</v>
      </c>
      <c r="AL51">
        <f t="shared" si="121"/>
        <v>0.7876971037855347</v>
      </c>
      <c r="AM51">
        <f t="shared" si="122"/>
        <v>0.69576809872115097</v>
      </c>
      <c r="AN51">
        <f t="shared" si="123"/>
        <v>9.9519533011438371E-2</v>
      </c>
      <c r="AO51">
        <f t="shared" si="124"/>
        <v>8.790500299698685E-2</v>
      </c>
      <c r="AP51">
        <f t="shared" si="125"/>
        <v>0.70778711237670489</v>
      </c>
      <c r="AQ51">
        <f t="shared" si="126"/>
        <v>0.55796321692742445</v>
      </c>
      <c r="AR51">
        <f t="shared" si="127"/>
        <v>8.9423513882085262E-2</v>
      </c>
      <c r="AS51">
        <f t="shared" si="128"/>
        <v>7.0494405170868538E-2</v>
      </c>
      <c r="AT51">
        <f t="shared" si="129"/>
        <v>1.2743825954006529</v>
      </c>
      <c r="AU51">
        <f t="shared" si="130"/>
        <v>0.46978517195708897</v>
      </c>
      <c r="AV51">
        <f t="shared" si="131"/>
        <v>0.16100854016432758</v>
      </c>
      <c r="AW51">
        <f t="shared" si="132"/>
        <v>5.9353780411508399E-2</v>
      </c>
      <c r="AX51">
        <f t="shared" si="133"/>
        <v>0.11665052901928374</v>
      </c>
      <c r="AY51">
        <f t="shared" si="134"/>
        <v>7.2584396193121264E-2</v>
      </c>
      <c r="BB51">
        <f t="shared" si="104"/>
        <v>5.0078996078806414E-7</v>
      </c>
      <c r="BC51">
        <f t="shared" si="105"/>
        <v>1.8599144096176382E-7</v>
      </c>
      <c r="BD51" t="str">
        <v>Local funcId 1690017899200 not found</v>
      </c>
      <c r="BE51" t="e">
        <f t="shared" si="135"/>
        <v>#VALUE!</v>
      </c>
      <c r="BF51" t="e">
        <f t="shared" si="136"/>
        <v>#VALUE!</v>
      </c>
      <c r="BG51" t="e">
        <f t="shared" si="106"/>
        <v>#VALUE!</v>
      </c>
      <c r="BH51" t="str">
        <f t="shared" si="107"/>
        <v>Local funcId 1690017901696 not found</v>
      </c>
      <c r="BJ51" s="6" t="s">
        <v>69</v>
      </c>
      <c r="BK51" s="6"/>
    </row>
    <row r="52" spans="1:63" x14ac:dyDescent="0.25">
      <c r="A52">
        <v>60</v>
      </c>
      <c r="B52">
        <f t="shared" si="108"/>
        <v>3600</v>
      </c>
      <c r="C52">
        <v>2.8199999999999999E-2</v>
      </c>
      <c r="D52">
        <v>1.6299999999999999E-2</v>
      </c>
      <c r="F52" s="1">
        <v>60</v>
      </c>
      <c r="G52" s="1">
        <v>2.7900000000000001E-2</v>
      </c>
      <c r="H52" s="1">
        <v>1.67E-2</v>
      </c>
      <c r="J52">
        <v>60</v>
      </c>
      <c r="K52" s="1">
        <v>2.64E-2</v>
      </c>
      <c r="L52" s="1">
        <v>1.6199999999999999E-2</v>
      </c>
      <c r="N52">
        <v>60</v>
      </c>
      <c r="O52">
        <f t="shared" si="109"/>
        <v>2.7499999999999997E-2</v>
      </c>
      <c r="P52">
        <f t="shared" si="110"/>
        <v>1.6400000000000001E-2</v>
      </c>
      <c r="Q52">
        <f t="shared" si="111"/>
        <v>7.8740078740118121E-4</v>
      </c>
      <c r="R52">
        <f t="shared" si="112"/>
        <v>2.1602468994692898E-4</v>
      </c>
      <c r="Y52">
        <v>60</v>
      </c>
      <c r="Z52">
        <f t="shared" si="113"/>
        <v>1.6406047346094127E-6</v>
      </c>
      <c r="AA52">
        <f t="shared" si="114"/>
        <v>2.6399059342663436E-6</v>
      </c>
      <c r="AC52">
        <f t="shared" si="115"/>
        <v>1.408484160525558E-6</v>
      </c>
      <c r="AD52">
        <f t="shared" si="116"/>
        <v>2.7114984223026506E-6</v>
      </c>
      <c r="AF52">
        <f t="shared" si="117"/>
        <v>1.183814927827662E-6</v>
      </c>
      <c r="AG52">
        <f t="shared" si="118"/>
        <v>2.6348783110148347E-6</v>
      </c>
      <c r="AH52">
        <f t="shared" si="15"/>
        <v>4.0730621635154874E-6</v>
      </c>
      <c r="AI52">
        <f t="shared" si="119"/>
        <v>1.4109679409875444E-6</v>
      </c>
      <c r="AJ52">
        <f t="shared" si="120"/>
        <v>2.6620942225279432E-6</v>
      </c>
      <c r="AK52">
        <f t="shared" si="18"/>
        <v>0.99999592693783645</v>
      </c>
      <c r="AL52">
        <f t="shared" si="121"/>
        <v>0.8203023673047064</v>
      </c>
      <c r="AM52">
        <f t="shared" si="122"/>
        <v>1.3199529671331718</v>
      </c>
      <c r="AN52">
        <f t="shared" si="123"/>
        <v>0.10363895986161799</v>
      </c>
      <c r="AO52">
        <f t="shared" si="124"/>
        <v>0.1667660097451891</v>
      </c>
      <c r="AP52">
        <f t="shared" si="125"/>
        <v>0.70424208026277901</v>
      </c>
      <c r="AQ52">
        <f t="shared" si="126"/>
        <v>1.3557492111513252</v>
      </c>
      <c r="AR52">
        <f t="shared" si="127"/>
        <v>8.8975626059732027E-2</v>
      </c>
      <c r="AS52">
        <f t="shared" si="128"/>
        <v>0.17128859269126029</v>
      </c>
      <c r="AT52">
        <f t="shared" si="129"/>
        <v>0.59190746391383098</v>
      </c>
      <c r="AU52">
        <f t="shared" si="130"/>
        <v>1.3174391555074174</v>
      </c>
      <c r="AV52">
        <f t="shared" si="131"/>
        <v>7.4783002389618575E-2</v>
      </c>
      <c r="AW52">
        <f t="shared" si="132"/>
        <v>0.16644840878173309</v>
      </c>
      <c r="AX52">
        <f t="shared" si="133"/>
        <v>8.913252943698953E-2</v>
      </c>
      <c r="AY52">
        <f t="shared" si="134"/>
        <v>0.16816767040606082</v>
      </c>
      <c r="BB52">
        <f t="shared" si="104"/>
        <v>1.8649192791997691E-7</v>
      </c>
      <c r="BC52">
        <f t="shared" si="105"/>
        <v>3.4994289681072192E-8</v>
      </c>
      <c r="BD52" t="str">
        <v>Local funcId 1690017899200 not found</v>
      </c>
      <c r="BE52" t="e">
        <f t="shared" si="135"/>
        <v>#VALUE!</v>
      </c>
      <c r="BF52" t="e">
        <f t="shared" si="136"/>
        <v>#VALUE!</v>
      </c>
      <c r="BG52" t="e">
        <f t="shared" si="106"/>
        <v>#VALUE!</v>
      </c>
      <c r="BH52" t="str">
        <f t="shared" si="107"/>
        <v>Local funcId 1690017901696 not found</v>
      </c>
      <c r="BJ52" t="s">
        <v>70</v>
      </c>
      <c r="BK52" s="7">
        <v>1E-4</v>
      </c>
    </row>
    <row r="53" spans="1:63" x14ac:dyDescent="0.25">
      <c r="A53">
        <v>90</v>
      </c>
      <c r="B53">
        <f t="shared" si="108"/>
        <v>5400</v>
      </c>
      <c r="C53">
        <v>3.7600000000000001E-2</v>
      </c>
      <c r="D53">
        <v>2.29E-2</v>
      </c>
      <c r="F53" s="1">
        <v>90</v>
      </c>
      <c r="G53" s="1">
        <v>3.6200000000000003E-2</v>
      </c>
      <c r="H53" s="1">
        <v>2.24E-2</v>
      </c>
      <c r="J53">
        <v>90</v>
      </c>
      <c r="K53" s="1">
        <v>3.6299999999999999E-2</v>
      </c>
      <c r="L53" s="1">
        <v>2.3E-2</v>
      </c>
      <c r="N53">
        <v>90</v>
      </c>
      <c r="O53">
        <f t="shared" si="109"/>
        <v>3.6700000000000003E-2</v>
      </c>
      <c r="P53">
        <f t="shared" si="110"/>
        <v>2.2766666666666668E-2</v>
      </c>
      <c r="Q53">
        <f t="shared" si="111"/>
        <v>6.3770421565696657E-4</v>
      </c>
      <c r="R53">
        <f t="shared" si="112"/>
        <v>2.6246692913372703E-4</v>
      </c>
      <c r="Y53">
        <v>90</v>
      </c>
      <c r="Z53">
        <f t="shared" si="113"/>
        <v>1.7507039485425716E-6</v>
      </c>
      <c r="AA53">
        <f t="shared" si="114"/>
        <v>3.7226797697074887E-6</v>
      </c>
      <c r="AC53">
        <f t="shared" si="115"/>
        <v>1.553491779860823E-6</v>
      </c>
      <c r="AD53">
        <f t="shared" si="116"/>
        <v>3.6453732318192696E-6</v>
      </c>
      <c r="AF53">
        <f t="shared" si="117"/>
        <v>1.3563247708238356E-6</v>
      </c>
      <c r="AG53">
        <f t="shared" si="118"/>
        <v>3.7489866175715093E-6</v>
      </c>
      <c r="AH53">
        <f t="shared" si="15"/>
        <v>5.2591867061084992E-6</v>
      </c>
      <c r="AI53">
        <f t="shared" si="119"/>
        <v>1.5535068330757433E-6</v>
      </c>
      <c r="AJ53">
        <f t="shared" si="120"/>
        <v>3.7056798730327557E-6</v>
      </c>
      <c r="AK53">
        <f t="shared" si="18"/>
        <v>0.99999474081329387</v>
      </c>
      <c r="AL53">
        <f t="shared" si="121"/>
        <v>0.87535197427128575</v>
      </c>
      <c r="AM53">
        <f t="shared" si="122"/>
        <v>1.8613398848537444</v>
      </c>
      <c r="AN53">
        <f t="shared" si="123"/>
        <v>0.11059405865714286</v>
      </c>
      <c r="AO53">
        <f t="shared" si="124"/>
        <v>0.23516612569219764</v>
      </c>
      <c r="AP53">
        <f t="shared" si="125"/>
        <v>0.77674588993041149</v>
      </c>
      <c r="AQ53">
        <f t="shared" si="126"/>
        <v>1.8226866159096349</v>
      </c>
      <c r="AR53">
        <f t="shared" si="127"/>
        <v>9.8135930502894694E-2</v>
      </c>
      <c r="AS53">
        <f t="shared" si="128"/>
        <v>0.23028257939477384</v>
      </c>
      <c r="AT53">
        <f t="shared" si="129"/>
        <v>0.67816238541191776</v>
      </c>
      <c r="AU53">
        <f t="shared" si="130"/>
        <v>1.8744933087857547</v>
      </c>
      <c r="AV53">
        <f t="shared" si="131"/>
        <v>8.5680655137323786E-2</v>
      </c>
      <c r="AW53">
        <f t="shared" si="132"/>
        <v>0.23682796068044912</v>
      </c>
      <c r="AX53">
        <f t="shared" si="133"/>
        <v>9.8136881432453762E-2</v>
      </c>
      <c r="AY53">
        <f t="shared" si="134"/>
        <v>0.2340922219224735</v>
      </c>
      <c r="BB53">
        <f t="shared" si="104"/>
        <v>1.610046254500701E-7</v>
      </c>
      <c r="BC53">
        <f t="shared" si="105"/>
        <v>4.397484729535208E-8</v>
      </c>
      <c r="BD53" t="str">
        <v>Local funcId 1690017899200 not found</v>
      </c>
      <c r="BE53" t="e">
        <f t="shared" si="135"/>
        <v>#VALUE!</v>
      </c>
      <c r="BF53" t="e">
        <f t="shared" si="136"/>
        <v>#VALUE!</v>
      </c>
      <c r="BG53" t="e">
        <f t="shared" si="106"/>
        <v>#VALUE!</v>
      </c>
      <c r="BH53" t="str">
        <f t="shared" si="107"/>
        <v>Local funcId 1690017901696 not found</v>
      </c>
      <c r="BJ53" t="s">
        <v>120</v>
      </c>
      <c r="BK53">
        <f>1-BK56/($BK$60+BK56)</f>
        <v>0.99996833374883498</v>
      </c>
    </row>
    <row r="54" spans="1:63" x14ac:dyDescent="0.25">
      <c r="A54">
        <v>120</v>
      </c>
      <c r="B54">
        <f t="shared" si="108"/>
        <v>7200</v>
      </c>
      <c r="C54">
        <v>4.5100000000000001E-2</v>
      </c>
      <c r="D54">
        <v>2.8400000000000002E-2</v>
      </c>
      <c r="F54" s="1">
        <v>120</v>
      </c>
      <c r="G54" s="1">
        <v>4.7199999999999999E-2</v>
      </c>
      <c r="H54" s="1">
        <v>3.0700000000000002E-2</v>
      </c>
      <c r="J54">
        <v>120</v>
      </c>
      <c r="K54" s="1">
        <v>4.5699999999999998E-2</v>
      </c>
      <c r="L54" s="1">
        <v>2.98E-2</v>
      </c>
      <c r="N54">
        <v>120</v>
      </c>
      <c r="O54">
        <f t="shared" si="109"/>
        <v>4.5999999999999992E-2</v>
      </c>
      <c r="P54">
        <f t="shared" si="110"/>
        <v>2.9633333333333334E-2</v>
      </c>
      <c r="Q54">
        <f t="shared" si="111"/>
        <v>8.8317608663278401E-4</v>
      </c>
      <c r="R54">
        <f t="shared" si="112"/>
        <v>9.4633797110522597E-4</v>
      </c>
      <c r="Y54">
        <v>120</v>
      </c>
      <c r="Z54">
        <f t="shared" si="113"/>
        <v>1.7509297467663896E-6</v>
      </c>
      <c r="AA54">
        <f t="shared" si="114"/>
        <v>4.6272793879097884E-6</v>
      </c>
      <c r="AC54">
        <f t="shared" si="115"/>
        <v>1.4664691444017568E-6</v>
      </c>
      <c r="AD54">
        <f t="shared" si="116"/>
        <v>5.0126803766531143E-6</v>
      </c>
      <c r="AF54">
        <f t="shared" si="117"/>
        <v>1.3915492937392833E-6</v>
      </c>
      <c r="AG54">
        <f t="shared" si="118"/>
        <v>4.8665270571302026E-6</v>
      </c>
      <c r="AH54">
        <f t="shared" si="15"/>
        <v>6.3718116688668452E-6</v>
      </c>
      <c r="AI54">
        <f t="shared" si="119"/>
        <v>1.53631606163581E-6</v>
      </c>
      <c r="AJ54">
        <f t="shared" si="120"/>
        <v>4.8354956072310354E-6</v>
      </c>
      <c r="AK54">
        <f t="shared" si="18"/>
        <v>0.99999362818833115</v>
      </c>
      <c r="AL54">
        <f t="shared" si="121"/>
        <v>0.87546487338319479</v>
      </c>
      <c r="AM54">
        <f t="shared" si="122"/>
        <v>2.3136396939548942</v>
      </c>
      <c r="AN54">
        <f t="shared" si="123"/>
        <v>0.11060832260052998</v>
      </c>
      <c r="AO54">
        <f t="shared" si="124"/>
        <v>0.29231076360769354</v>
      </c>
      <c r="AP54">
        <f t="shared" si="125"/>
        <v>0.7332345722008784</v>
      </c>
      <c r="AQ54">
        <f t="shared" si="126"/>
        <v>2.5063401883265573</v>
      </c>
      <c r="AR54">
        <f t="shared" si="127"/>
        <v>9.2638606721526018E-2</v>
      </c>
      <c r="AS54">
        <f t="shared" si="128"/>
        <v>0.31665700421055681</v>
      </c>
      <c r="AT54">
        <f t="shared" si="129"/>
        <v>0.69577464686964163</v>
      </c>
      <c r="AU54">
        <f t="shared" si="130"/>
        <v>2.4332635285651012</v>
      </c>
      <c r="AV54">
        <f t="shared" si="131"/>
        <v>8.79058303057033E-2</v>
      </c>
      <c r="AW54">
        <f t="shared" si="132"/>
        <v>0.30742432451864826</v>
      </c>
      <c r="AX54">
        <f t="shared" si="133"/>
        <v>9.7050919875919781E-2</v>
      </c>
      <c r="AY54">
        <f t="shared" si="134"/>
        <v>0.30546403077896622</v>
      </c>
      <c r="BB54">
        <f t="shared" si="104"/>
        <v>1.5480637667705541E-7</v>
      </c>
      <c r="BC54">
        <f t="shared" si="105"/>
        <v>1.5886198138261761E-7</v>
      </c>
      <c r="BD54" t="str">
        <v>Local funcId 1690017899200 not found</v>
      </c>
      <c r="BE54" t="e">
        <f t="shared" si="135"/>
        <v>#VALUE!</v>
      </c>
      <c r="BF54" t="e">
        <f t="shared" si="136"/>
        <v>#VALUE!</v>
      </c>
      <c r="BG54" t="e">
        <f t="shared" si="106"/>
        <v>#VALUE!</v>
      </c>
      <c r="BH54" t="str">
        <f t="shared" si="107"/>
        <v>Local funcId 1690017901696 not found</v>
      </c>
      <c r="BJ54" t="s">
        <v>73</v>
      </c>
      <c r="BK54">
        <v>2.5000000000000001E-4</v>
      </c>
    </row>
    <row r="55" spans="1:63" x14ac:dyDescent="0.25">
      <c r="A55">
        <v>150</v>
      </c>
      <c r="B55">
        <f t="shared" si="108"/>
        <v>9000</v>
      </c>
      <c r="C55">
        <v>5.5E-2</v>
      </c>
      <c r="D55">
        <v>3.5400000000000001E-2</v>
      </c>
      <c r="F55" s="1">
        <v>150</v>
      </c>
      <c r="G55" s="1">
        <v>5.5E-2</v>
      </c>
      <c r="H55" s="1">
        <v>3.6499999999999998E-2</v>
      </c>
      <c r="J55">
        <v>150</v>
      </c>
      <c r="K55" s="1">
        <v>5.21E-2</v>
      </c>
      <c r="L55" s="1">
        <v>3.4799999999999998E-2</v>
      </c>
      <c r="N55">
        <v>150</v>
      </c>
      <c r="O55">
        <f t="shared" si="109"/>
        <v>5.4033333333333329E-2</v>
      </c>
      <c r="P55">
        <f t="shared" si="110"/>
        <v>3.5566666666666663E-2</v>
      </c>
      <c r="Q55">
        <f t="shared" si="111"/>
        <v>1.3670731102939917E-3</v>
      </c>
      <c r="R55">
        <f t="shared" si="112"/>
        <v>7.0395706939809562E-4</v>
      </c>
      <c r="U55" s="7"/>
      <c r="V55" s="7"/>
      <c r="Y55">
        <v>150</v>
      </c>
      <c r="Z55">
        <f t="shared" si="113"/>
        <v>1.8485648987448495E-6</v>
      </c>
      <c r="AA55">
        <f t="shared" si="114"/>
        <v>5.7761542985840105E-6</v>
      </c>
      <c r="AC55">
        <f t="shared" si="115"/>
        <v>1.4367540981474429E-6</v>
      </c>
      <c r="AD55">
        <f t="shared" si="116"/>
        <v>5.967370621230525E-6</v>
      </c>
      <c r="AF55">
        <f t="shared" si="117"/>
        <v>1.2769341153297876E-6</v>
      </c>
      <c r="AG55">
        <f t="shared" si="118"/>
        <v>5.6917608576430709E-6</v>
      </c>
      <c r="AH55">
        <f t="shared" si="15"/>
        <v>7.3325129632265621E-6</v>
      </c>
      <c r="AI55">
        <f t="shared" si="119"/>
        <v>1.52075103740736E-6</v>
      </c>
      <c r="AJ55">
        <f t="shared" si="120"/>
        <v>5.8117619258192018E-6</v>
      </c>
      <c r="AK55">
        <f t="shared" si="18"/>
        <v>0.99999266748703675</v>
      </c>
      <c r="AL55">
        <f t="shared" si="121"/>
        <v>0.92428244937242476</v>
      </c>
      <c r="AM55">
        <f t="shared" si="122"/>
        <v>2.8880771492920054</v>
      </c>
      <c r="AN55">
        <f t="shared" si="123"/>
        <v>0.11677605172108967</v>
      </c>
      <c r="AO55">
        <f t="shared" si="124"/>
        <v>0.36488656339760017</v>
      </c>
      <c r="AP55">
        <f t="shared" si="125"/>
        <v>0.71837704907372146</v>
      </c>
      <c r="AQ55">
        <f t="shared" si="126"/>
        <v>2.9836853106152623</v>
      </c>
      <c r="AR55">
        <f t="shared" si="127"/>
        <v>9.0761471771790461E-2</v>
      </c>
      <c r="AS55">
        <f t="shared" si="128"/>
        <v>0.37696592679914875</v>
      </c>
      <c r="AT55">
        <f t="shared" si="129"/>
        <v>0.63846705766489376</v>
      </c>
      <c r="AU55">
        <f t="shared" si="130"/>
        <v>2.8458804288215354</v>
      </c>
      <c r="AV55">
        <f t="shared" si="131"/>
        <v>8.0665452642437616E-2</v>
      </c>
      <c r="AW55">
        <f t="shared" si="132"/>
        <v>0.35955532897303039</v>
      </c>
      <c r="AX55">
        <f t="shared" si="133"/>
        <v>9.6067658711772586E-2</v>
      </c>
      <c r="AY55">
        <f t="shared" si="134"/>
        <v>0.36713593972325981</v>
      </c>
      <c r="BB55">
        <f t="shared" si="104"/>
        <v>2.4080704930255539E-7</v>
      </c>
      <c r="BC55">
        <f t="shared" si="105"/>
        <v>1.1529993577382817E-7</v>
      </c>
      <c r="BD55" t="str">
        <v>Local funcId 1690017899200 not found</v>
      </c>
      <c r="BE55" t="e">
        <f t="shared" si="135"/>
        <v>#VALUE!</v>
      </c>
      <c r="BF55" t="e">
        <f t="shared" si="136"/>
        <v>#VALUE!</v>
      </c>
      <c r="BG55" t="e">
        <f t="shared" si="106"/>
        <v>#VALUE!</v>
      </c>
      <c r="BH55" t="str">
        <f t="shared" si="107"/>
        <v>Local funcId 1690017901696 not found</v>
      </c>
      <c r="BJ55" t="s">
        <v>74</v>
      </c>
      <c r="BK55">
        <f>PI()/4*0.008^2</f>
        <v>5.0265482457436686E-5</v>
      </c>
    </row>
    <row r="56" spans="1:63" x14ac:dyDescent="0.25">
      <c r="A56">
        <v>180</v>
      </c>
      <c r="B56">
        <f t="shared" si="108"/>
        <v>10800</v>
      </c>
      <c r="C56">
        <v>6.2100000000000002E-2</v>
      </c>
      <c r="D56">
        <v>4.0800000000000003E-2</v>
      </c>
      <c r="F56" s="1">
        <v>180</v>
      </c>
      <c r="G56" s="1">
        <v>6.1899999999999997E-2</v>
      </c>
      <c r="H56" s="1">
        <v>4.1399999999999999E-2</v>
      </c>
      <c r="J56">
        <v>180</v>
      </c>
      <c r="K56" s="1">
        <v>6.2600000000000003E-2</v>
      </c>
      <c r="L56" s="1">
        <v>4.2299999999999997E-2</v>
      </c>
      <c r="N56">
        <v>180</v>
      </c>
      <c r="O56">
        <f t="shared" si="109"/>
        <v>6.2199999999999998E-2</v>
      </c>
      <c r="P56">
        <f t="shared" si="110"/>
        <v>4.1500000000000002E-2</v>
      </c>
      <c r="Q56">
        <f t="shared" si="111"/>
        <v>2.9439202887759702E-4</v>
      </c>
      <c r="R56">
        <f t="shared" si="112"/>
        <v>6.1644140029689536E-4</v>
      </c>
      <c r="Y56">
        <v>180</v>
      </c>
      <c r="Z56">
        <f t="shared" si="113"/>
        <v>1.7763997864129448E-6</v>
      </c>
      <c r="AA56">
        <f t="shared" si="114"/>
        <v>6.6661163211291503E-6</v>
      </c>
      <c r="AC56">
        <f t="shared" si="115"/>
        <v>1.4968615853275211E-6</v>
      </c>
      <c r="AD56">
        <f t="shared" si="116"/>
        <v>6.7717889866826016E-6</v>
      </c>
      <c r="AF56">
        <f t="shared" si="117"/>
        <v>1.3521249238608403E-6</v>
      </c>
      <c r="AG56">
        <f t="shared" si="118"/>
        <v>6.9234337190087427E-6</v>
      </c>
      <c r="AH56">
        <f t="shared" si="15"/>
        <v>8.3289084408072683E-6</v>
      </c>
      <c r="AI56">
        <f t="shared" si="119"/>
        <v>1.541795431867102E-6</v>
      </c>
      <c r="AJ56">
        <f t="shared" si="120"/>
        <v>6.7871130089401654E-6</v>
      </c>
      <c r="AK56">
        <f t="shared" si="18"/>
        <v>0.99999167109155918</v>
      </c>
      <c r="AL56">
        <f t="shared" si="121"/>
        <v>0.88819989320647241</v>
      </c>
      <c r="AM56">
        <f t="shared" si="122"/>
        <v>3.3330581605645753</v>
      </c>
      <c r="AN56">
        <f t="shared" si="123"/>
        <v>0.11221729541458907</v>
      </c>
      <c r="AO56">
        <f t="shared" si="124"/>
        <v>0.42110652691908723</v>
      </c>
      <c r="AP56">
        <f t="shared" si="125"/>
        <v>0.74843079266376056</v>
      </c>
      <c r="AQ56">
        <f t="shared" si="126"/>
        <v>3.3858944933413007</v>
      </c>
      <c r="AR56">
        <f t="shared" si="127"/>
        <v>9.4558533501422681E-2</v>
      </c>
      <c r="AS56">
        <f t="shared" si="128"/>
        <v>0.42778199536845241</v>
      </c>
      <c r="AT56">
        <f t="shared" si="129"/>
        <v>0.67606246193042008</v>
      </c>
      <c r="AU56">
        <f t="shared" si="130"/>
        <v>3.4617168595043712</v>
      </c>
      <c r="AV56">
        <f t="shared" si="131"/>
        <v>8.5415345790324712E-2</v>
      </c>
      <c r="AW56">
        <f t="shared" si="132"/>
        <v>0.43736157416353394</v>
      </c>
      <c r="AX56">
        <f t="shared" si="133"/>
        <v>9.7397058235445491E-2</v>
      </c>
      <c r="AY56">
        <f t="shared" si="134"/>
        <v>0.4287500321503579</v>
      </c>
      <c r="BB56">
        <f t="shared" si="104"/>
        <v>1.7609955076988649E-7</v>
      </c>
      <c r="BC56">
        <f t="shared" si="105"/>
        <v>1.056067550127795E-7</v>
      </c>
      <c r="BD56" t="str">
        <v>Local funcId 1690017899200 not found</v>
      </c>
      <c r="BE56" t="e">
        <f t="shared" si="135"/>
        <v>#VALUE!</v>
      </c>
      <c r="BF56" t="e">
        <f t="shared" si="136"/>
        <v>#VALUE!</v>
      </c>
      <c r="BG56" t="e">
        <f t="shared" si="106"/>
        <v>#VALUE!</v>
      </c>
      <c r="BH56" t="str">
        <f t="shared" si="107"/>
        <v>Local funcId 1690017901696 not found</v>
      </c>
      <c r="BJ56" t="s">
        <v>128</v>
      </c>
      <c r="BK56">
        <f>BK54*BK55*BK57</f>
        <v>1.5833626974092556E-5</v>
      </c>
    </row>
    <row r="57" spans="1:63" x14ac:dyDescent="0.25">
      <c r="A57">
        <v>210</v>
      </c>
      <c r="B57">
        <f t="shared" si="108"/>
        <v>12600</v>
      </c>
      <c r="C57">
        <v>6.9599999999999995E-2</v>
      </c>
      <c r="D57">
        <v>4.6399999999999997E-2</v>
      </c>
      <c r="F57" s="1">
        <v>210</v>
      </c>
      <c r="G57" s="1">
        <v>6.8400000000000002E-2</v>
      </c>
      <c r="H57" s="1">
        <v>4.5900000000000003E-2</v>
      </c>
      <c r="J57">
        <v>210</v>
      </c>
      <c r="K57" s="1">
        <v>7.0900000000000005E-2</v>
      </c>
      <c r="L57" s="1">
        <v>4.82E-2</v>
      </c>
      <c r="N57">
        <v>210</v>
      </c>
      <c r="O57">
        <f t="shared" si="109"/>
        <v>6.9633333333333339E-2</v>
      </c>
      <c r="P57">
        <f t="shared" si="110"/>
        <v>4.6833333333333331E-2</v>
      </c>
      <c r="Q57">
        <f t="shared" si="111"/>
        <v>1.0208928554075712E-3</v>
      </c>
      <c r="R57">
        <f t="shared" si="112"/>
        <v>9.8770215933526961E-4</v>
      </c>
      <c r="Y57">
        <v>210</v>
      </c>
      <c r="Z57">
        <f t="shared" si="113"/>
        <v>1.7391882391279058E-6</v>
      </c>
      <c r="AA57">
        <f t="shared" si="114"/>
        <v>7.5880992413902233E-6</v>
      </c>
      <c r="AC57">
        <f t="shared" si="115"/>
        <v>1.5968901984784446E-6</v>
      </c>
      <c r="AD57">
        <f t="shared" si="116"/>
        <v>7.5094198503011967E-6</v>
      </c>
      <c r="AF57">
        <f t="shared" si="117"/>
        <v>1.4222578521783942E-6</v>
      </c>
      <c r="AG57">
        <f t="shared" si="118"/>
        <v>7.8920751326429084E-6</v>
      </c>
      <c r="AH57">
        <f t="shared" si="15"/>
        <v>9.2493101713730243E-6</v>
      </c>
      <c r="AI57">
        <f t="shared" si="119"/>
        <v>1.5861120965949148E-6</v>
      </c>
      <c r="AJ57">
        <f t="shared" si="120"/>
        <v>7.6631980747781092E-6</v>
      </c>
      <c r="AK57">
        <f t="shared" si="18"/>
        <v>0.99999075068982868</v>
      </c>
      <c r="AL57">
        <f t="shared" si="121"/>
        <v>0.86959411956395294</v>
      </c>
      <c r="AM57">
        <f t="shared" si="122"/>
        <v>3.7940496206951115</v>
      </c>
      <c r="AN57">
        <f t="shared" si="123"/>
        <v>0.10986659754440341</v>
      </c>
      <c r="AO57">
        <f t="shared" si="124"/>
        <v>0.47934928878017835</v>
      </c>
      <c r="AP57">
        <f t="shared" si="125"/>
        <v>0.79844509923922224</v>
      </c>
      <c r="AQ57">
        <f t="shared" si="126"/>
        <v>3.7547099251505984</v>
      </c>
      <c r="AR57">
        <f t="shared" si="127"/>
        <v>0.10087746042188531</v>
      </c>
      <c r="AS57">
        <f t="shared" si="128"/>
        <v>0.47437901770696128</v>
      </c>
      <c r="AT57">
        <f t="shared" si="129"/>
        <v>0.71112892608919709</v>
      </c>
      <c r="AU57">
        <f t="shared" si="130"/>
        <v>3.9460375663214542</v>
      </c>
      <c r="AV57">
        <f t="shared" si="131"/>
        <v>8.9845726606342019E-2</v>
      </c>
      <c r="AW57">
        <f t="shared" si="132"/>
        <v>0.49855180875823807</v>
      </c>
      <c r="AX57">
        <f t="shared" si="133"/>
        <v>0.10019659485754358</v>
      </c>
      <c r="AY57">
        <f t="shared" si="134"/>
        <v>0.48409337174845923</v>
      </c>
      <c r="BB57">
        <f t="shared" si="104"/>
        <v>1.2961055294779718E-7</v>
      </c>
      <c r="BC57">
        <f t="shared" si="105"/>
        <v>1.6499725726643637E-7</v>
      </c>
      <c r="BD57" t="str">
        <v>Local funcId 1690017899200 not found</v>
      </c>
      <c r="BE57" t="e">
        <f t="shared" si="135"/>
        <v>#VALUE!</v>
      </c>
      <c r="BF57" t="e">
        <f t="shared" si="136"/>
        <v>#VALUE!</v>
      </c>
      <c r="BG57" t="e">
        <f t="shared" si="106"/>
        <v>#VALUE!</v>
      </c>
      <c r="BH57" t="str">
        <f t="shared" si="107"/>
        <v>Local funcId 1690017901696 not found</v>
      </c>
      <c r="BJ57" t="s">
        <v>83</v>
      </c>
      <c r="BK57">
        <v>1260</v>
      </c>
    </row>
    <row r="58" spans="1:63" x14ac:dyDescent="0.25">
      <c r="A58">
        <v>240</v>
      </c>
      <c r="B58">
        <f t="shared" si="108"/>
        <v>14400</v>
      </c>
      <c r="C58">
        <v>7.7299999999999994E-2</v>
      </c>
      <c r="D58">
        <v>5.16E-2</v>
      </c>
      <c r="F58" s="1">
        <v>240</v>
      </c>
      <c r="G58" s="1">
        <v>7.6200000000000004E-2</v>
      </c>
      <c r="H58" s="1">
        <v>5.1900000000000002E-2</v>
      </c>
      <c r="J58">
        <v>240</v>
      </c>
      <c r="K58" s="1">
        <v>7.9500000000000001E-2</v>
      </c>
      <c r="L58" s="1">
        <v>5.4300000000000001E-2</v>
      </c>
      <c r="N58">
        <v>240</v>
      </c>
      <c r="O58">
        <f t="shared" si="109"/>
        <v>7.7666666666666662E-2</v>
      </c>
      <c r="P58">
        <f t="shared" si="110"/>
        <v>5.2600000000000001E-2</v>
      </c>
      <c r="Q58">
        <f t="shared" si="111"/>
        <v>1.3719410418171116E-3</v>
      </c>
      <c r="R58">
        <f t="shared" si="112"/>
        <v>1.2083045973594574E-3</v>
      </c>
      <c r="Y58">
        <v>240</v>
      </c>
      <c r="Z58">
        <f t="shared" si="113"/>
        <v>1.9066402019105768E-6</v>
      </c>
      <c r="AA58">
        <f t="shared" si="114"/>
        <v>8.4391761002153951E-6</v>
      </c>
      <c r="AC58">
        <f t="shared" si="115"/>
        <v>1.4923004612064208E-6</v>
      </c>
      <c r="AD58">
        <f t="shared" si="116"/>
        <v>8.4988766989961557E-6</v>
      </c>
      <c r="AF58">
        <f t="shared" si="117"/>
        <v>1.4998872815266715E-6</v>
      </c>
      <c r="AG58">
        <f t="shared" si="118"/>
        <v>8.8934238705934125E-6</v>
      </c>
      <c r="AH58">
        <f t="shared" si="15"/>
        <v>1.0243434871482877E-5</v>
      </c>
      <c r="AI58">
        <f t="shared" si="119"/>
        <v>1.6329426482145564E-6</v>
      </c>
      <c r="AJ58">
        <f t="shared" si="120"/>
        <v>8.6104922232683216E-6</v>
      </c>
      <c r="AK58">
        <f t="shared" si="18"/>
        <v>0.99998975656512856</v>
      </c>
      <c r="AL58">
        <f t="shared" si="121"/>
        <v>0.95332010095528841</v>
      </c>
      <c r="AM58">
        <f t="shared" si="122"/>
        <v>4.2195880501076974</v>
      </c>
      <c r="AN58">
        <f t="shared" si="123"/>
        <v>0.12044473796023858</v>
      </c>
      <c r="AO58">
        <f t="shared" si="124"/>
        <v>0.53311283008309507</v>
      </c>
      <c r="AP58">
        <f t="shared" si="125"/>
        <v>0.7461502306032104</v>
      </c>
      <c r="AQ58">
        <f t="shared" si="126"/>
        <v>4.2494383494980781</v>
      </c>
      <c r="AR58">
        <f t="shared" si="127"/>
        <v>9.4270401845004473E-2</v>
      </c>
      <c r="AS58">
        <f t="shared" si="128"/>
        <v>0.53688418818674388</v>
      </c>
      <c r="AT58">
        <f t="shared" si="129"/>
        <v>0.74994364076333575</v>
      </c>
      <c r="AU58">
        <f t="shared" si="130"/>
        <v>4.4467119352967064</v>
      </c>
      <c r="AV58">
        <f t="shared" si="131"/>
        <v>9.4749670342809317E-2</v>
      </c>
      <c r="AW58">
        <f t="shared" si="132"/>
        <v>0.56180820408044296</v>
      </c>
      <c r="AX58">
        <f t="shared" si="133"/>
        <v>0.10315493671601746</v>
      </c>
      <c r="AY58">
        <f t="shared" si="134"/>
        <v>0.54393507411676056</v>
      </c>
      <c r="BB58">
        <f t="shared" si="104"/>
        <v>1.9355817925545874E-7</v>
      </c>
      <c r="BC58">
        <f t="shared" si="105"/>
        <v>2.0154201905518818E-7</v>
      </c>
      <c r="BD58" t="str">
        <v>Local funcId 1690017899200 not found</v>
      </c>
      <c r="BE58" t="e">
        <f t="shared" si="135"/>
        <v>#VALUE!</v>
      </c>
      <c r="BF58" t="e">
        <f t="shared" si="136"/>
        <v>#VALUE!</v>
      </c>
      <c r="BG58" t="e">
        <f t="shared" si="106"/>
        <v>#VALUE!</v>
      </c>
      <c r="BH58" t="str">
        <f t="shared" si="107"/>
        <v>Local funcId 1690017901696 not found</v>
      </c>
      <c r="BJ58" t="s">
        <v>123</v>
      </c>
      <c r="BK58">
        <v>65.832793335954264</v>
      </c>
    </row>
    <row r="59" spans="1:63" x14ac:dyDescent="0.25">
      <c r="A59">
        <v>270</v>
      </c>
      <c r="B59">
        <f t="shared" si="108"/>
        <v>16200</v>
      </c>
      <c r="C59">
        <v>8.3699999999999997E-2</v>
      </c>
      <c r="D59">
        <v>5.6399999999999999E-2</v>
      </c>
      <c r="F59" s="1">
        <v>270</v>
      </c>
      <c r="G59" s="1">
        <v>8.3799999999999999E-2</v>
      </c>
      <c r="H59" s="1">
        <v>5.7000000000000002E-2</v>
      </c>
      <c r="J59">
        <v>270</v>
      </c>
      <c r="K59" s="1">
        <v>8.8999999999999996E-2</v>
      </c>
      <c r="L59" s="1">
        <v>6.13E-2</v>
      </c>
      <c r="N59">
        <v>270</v>
      </c>
      <c r="O59">
        <f t="shared" si="109"/>
        <v>8.5499999999999979E-2</v>
      </c>
      <c r="P59">
        <f t="shared" si="110"/>
        <v>5.8233333333333331E-2</v>
      </c>
      <c r="Q59">
        <f t="shared" si="111"/>
        <v>2.4752104287649283E-3</v>
      </c>
      <c r="R59">
        <f t="shared" si="112"/>
        <v>2.1822516404443881E-3</v>
      </c>
      <c r="Y59">
        <v>270</v>
      </c>
      <c r="Z59">
        <f t="shared" si="113"/>
        <v>1.8668997145187885E-6</v>
      </c>
      <c r="AA59">
        <f t="shared" si="114"/>
        <v>9.2296432966107159E-6</v>
      </c>
      <c r="AC59">
        <f t="shared" si="115"/>
        <v>1.6697327054818023E-6</v>
      </c>
      <c r="AD59">
        <f t="shared" si="116"/>
        <v>9.3332566823629547E-6</v>
      </c>
      <c r="AF59">
        <f t="shared" si="117"/>
        <v>1.487694177440553E-6</v>
      </c>
      <c r="AG59">
        <f t="shared" si="118"/>
        <v>1.004504448766925E-5</v>
      </c>
      <c r="AH59">
        <f t="shared" si="15"/>
        <v>1.1210757021361355E-5</v>
      </c>
      <c r="AI59">
        <f t="shared" si="119"/>
        <v>1.6747755324803812E-6</v>
      </c>
      <c r="AJ59">
        <f t="shared" si="120"/>
        <v>9.535981488880974E-6</v>
      </c>
      <c r="AK59">
        <f t="shared" si="18"/>
        <v>0.99998878924297863</v>
      </c>
      <c r="AL59">
        <f t="shared" si="121"/>
        <v>0.93344985725939422</v>
      </c>
      <c r="AM59">
        <f t="shared" si="122"/>
        <v>4.6148216483053579</v>
      </c>
      <c r="AN59">
        <f t="shared" si="123"/>
        <v>0.11793428392411803</v>
      </c>
      <c r="AO59">
        <f t="shared" si="124"/>
        <v>0.58304758664628653</v>
      </c>
      <c r="AP59">
        <f t="shared" si="125"/>
        <v>0.83486635274090115</v>
      </c>
      <c r="AQ59">
        <f t="shared" si="126"/>
        <v>4.6666283411814771</v>
      </c>
      <c r="AR59">
        <f t="shared" si="127"/>
        <v>0.10547900855854721</v>
      </c>
      <c r="AS59">
        <f t="shared" si="128"/>
        <v>0.5895929679319617</v>
      </c>
      <c r="AT59">
        <f t="shared" si="129"/>
        <v>0.74384708872027649</v>
      </c>
      <c r="AU59">
        <f t="shared" si="130"/>
        <v>5.0225222438346249</v>
      </c>
      <c r="AV59">
        <f t="shared" si="131"/>
        <v>9.3979417399908588E-2</v>
      </c>
      <c r="AW59">
        <f t="shared" si="132"/>
        <v>0.63455745342193615</v>
      </c>
      <c r="AX59">
        <f t="shared" si="133"/>
        <v>0.10579756996085794</v>
      </c>
      <c r="AY59">
        <f t="shared" si="134"/>
        <v>0.60239933600006135</v>
      </c>
      <c r="BB59">
        <f t="shared" si="104"/>
        <v>1.5485107343466381E-7</v>
      </c>
      <c r="BC59">
        <f t="shared" si="105"/>
        <v>3.6243876354334672E-7</v>
      </c>
      <c r="BD59" t="str">
        <v>Local funcId 1690017899200 not found</v>
      </c>
      <c r="BE59" t="e">
        <f t="shared" si="135"/>
        <v>#VALUE!</v>
      </c>
      <c r="BF59" t="e">
        <f t="shared" si="136"/>
        <v>#VALUE!</v>
      </c>
      <c r="BG59" t="e">
        <f t="shared" si="106"/>
        <v>#VALUE!</v>
      </c>
      <c r="BH59" t="str">
        <f t="shared" si="107"/>
        <v>Local funcId 1690017901696 not found</v>
      </c>
      <c r="BJ59" t="s">
        <v>72</v>
      </c>
      <c r="BK59" s="10">
        <f>BK58*0.000000000001</f>
        <v>6.5832793335954259E-11</v>
      </c>
    </row>
    <row r="60" spans="1:63" x14ac:dyDescent="0.25">
      <c r="A60">
        <v>300</v>
      </c>
      <c r="B60">
        <f t="shared" si="108"/>
        <v>18000</v>
      </c>
      <c r="C60">
        <v>9.1800000000000007E-2</v>
      </c>
      <c r="D60">
        <v>6.2100000000000002E-2</v>
      </c>
      <c r="F60" s="1">
        <v>300</v>
      </c>
      <c r="G60" s="1">
        <v>9.2799999999999994E-2</v>
      </c>
      <c r="H60" s="1">
        <v>6.3600000000000004E-2</v>
      </c>
      <c r="J60">
        <v>300</v>
      </c>
      <c r="K60" s="1">
        <v>9.6699999999999994E-2</v>
      </c>
      <c r="L60" s="1">
        <v>6.8199999999999997E-2</v>
      </c>
      <c r="N60">
        <v>300</v>
      </c>
      <c r="O60">
        <f t="shared" si="109"/>
        <v>9.3766666666666665E-2</v>
      </c>
      <c r="P60">
        <f t="shared" si="110"/>
        <v>6.4633333333333334E-2</v>
      </c>
      <c r="Q60">
        <f t="shared" si="111"/>
        <v>2.1139746660943869E-3</v>
      </c>
      <c r="R60">
        <f t="shared" si="112"/>
        <v>2.5952948879762279E-3</v>
      </c>
      <c r="Y60">
        <v>300</v>
      </c>
      <c r="Z60">
        <f t="shared" si="113"/>
        <v>1.9569932058217663E-6</v>
      </c>
      <c r="AA60">
        <f t="shared" si="114"/>
        <v>1.0164890959328141E-5</v>
      </c>
      <c r="AC60">
        <f t="shared" si="115"/>
        <v>1.6700036633503789E-6</v>
      </c>
      <c r="AD60">
        <f t="shared" si="116"/>
        <v>1.0418776224205715E-5</v>
      </c>
      <c r="AF60">
        <f t="shared" si="117"/>
        <v>1.0187112665726861E-6</v>
      </c>
      <c r="AG60">
        <f t="shared" si="118"/>
        <v>1.1191637481493579E-5</v>
      </c>
      <c r="AH60">
        <f t="shared" si="15"/>
        <v>1.2140337600257421E-5</v>
      </c>
      <c r="AI60">
        <f t="shared" si="119"/>
        <v>1.5485693785816105E-6</v>
      </c>
      <c r="AJ60">
        <f t="shared" si="120"/>
        <v>1.059176822167581E-5</v>
      </c>
      <c r="AK60">
        <f t="shared" si="18"/>
        <v>0.99998785966239967</v>
      </c>
      <c r="AL60">
        <f t="shared" si="121"/>
        <v>0.97849660291088314</v>
      </c>
      <c r="AM60">
        <f t="shared" si="122"/>
        <v>5.082445479664071</v>
      </c>
      <c r="AN60">
        <f t="shared" si="123"/>
        <v>0.12362559733555062</v>
      </c>
      <c r="AO60">
        <f t="shared" si="124"/>
        <v>0.64212829812559336</v>
      </c>
      <c r="AP60">
        <f t="shared" si="125"/>
        <v>0.83500183167518949</v>
      </c>
      <c r="AQ60">
        <f t="shared" si="126"/>
        <v>5.2093881121028573</v>
      </c>
      <c r="AR60">
        <f t="shared" si="127"/>
        <v>0.10549612529061143</v>
      </c>
      <c r="AS60">
        <f t="shared" si="128"/>
        <v>0.65816653343055687</v>
      </c>
      <c r="AT60">
        <f t="shared" si="129"/>
        <v>0.50935563328634303</v>
      </c>
      <c r="AU60">
        <f t="shared" si="130"/>
        <v>5.5958187407467896</v>
      </c>
      <c r="AV60">
        <f t="shared" si="131"/>
        <v>6.4353206985008599E-2</v>
      </c>
      <c r="AW60">
        <f t="shared" si="132"/>
        <v>0.70698910179997343</v>
      </c>
      <c r="AX60">
        <f t="shared" si="133"/>
        <v>9.7824976537056865E-2</v>
      </c>
      <c r="AY60">
        <f t="shared" si="134"/>
        <v>0.66909464445204125</v>
      </c>
      <c r="BB60">
        <f t="shared" si="104"/>
        <v>3.9255824495075922E-7</v>
      </c>
      <c r="BC60">
        <f t="shared" si="105"/>
        <v>4.3665148466194875E-7</v>
      </c>
      <c r="BD60" t="str">
        <v>Local funcId 1690017899200 not found</v>
      </c>
      <c r="BE60" t="e">
        <f t="shared" si="135"/>
        <v>#VALUE!</v>
      </c>
      <c r="BF60" t="e">
        <f t="shared" si="136"/>
        <v>#VALUE!</v>
      </c>
      <c r="BG60" t="e">
        <f t="shared" si="106"/>
        <v>#VALUE!</v>
      </c>
      <c r="BH60" t="str">
        <f t="shared" si="107"/>
        <v>Local funcId 1690017901696 not found</v>
      </c>
      <c r="BJ60" t="s">
        <v>75</v>
      </c>
      <c r="BK60">
        <v>0.5</v>
      </c>
    </row>
    <row r="61" spans="1:63" x14ac:dyDescent="0.25">
      <c r="BF61" t="s">
        <v>79</v>
      </c>
      <c r="BG61" t="e">
        <f>SUM(BG49:BG60)</f>
        <v>#VALUE!</v>
      </c>
    </row>
    <row r="62" spans="1:63" x14ac:dyDescent="0.25">
      <c r="A62" s="14" t="s">
        <v>21</v>
      </c>
      <c r="B62" s="14"/>
      <c r="C62" s="14"/>
      <c r="D62" s="14"/>
      <c r="F62" s="14" t="s">
        <v>22</v>
      </c>
      <c r="G62" s="14"/>
      <c r="H62" s="14"/>
      <c r="J62" s="14" t="s">
        <v>23</v>
      </c>
      <c r="K62" s="14"/>
      <c r="L62" s="14"/>
      <c r="N62" s="15" t="s">
        <v>34</v>
      </c>
      <c r="O62" s="15"/>
      <c r="P62" s="15"/>
    </row>
    <row r="63" spans="1:63" ht="18" x14ac:dyDescent="0.35">
      <c r="A63" t="s">
        <v>0</v>
      </c>
      <c r="C63" t="s">
        <v>1</v>
      </c>
      <c r="D63" t="s">
        <v>2</v>
      </c>
      <c r="F63" t="s">
        <v>0</v>
      </c>
      <c r="G63" t="s">
        <v>1</v>
      </c>
      <c r="H63" t="s">
        <v>2</v>
      </c>
      <c r="J63" t="s">
        <v>0</v>
      </c>
      <c r="K63" t="s">
        <v>1</v>
      </c>
      <c r="L63" t="s">
        <v>2</v>
      </c>
      <c r="N63" t="s">
        <v>0</v>
      </c>
      <c r="O63" t="s">
        <v>1</v>
      </c>
      <c r="P63" t="s">
        <v>2</v>
      </c>
      <c r="Q63" t="s">
        <v>16</v>
      </c>
      <c r="R63" t="s">
        <v>17</v>
      </c>
      <c r="Y63" t="s">
        <v>0</v>
      </c>
      <c r="Z63" s="5" t="s">
        <v>47</v>
      </c>
      <c r="AA63" s="5" t="s">
        <v>48</v>
      </c>
      <c r="AB63" s="3"/>
      <c r="AC63" s="5" t="s">
        <v>49</v>
      </c>
      <c r="AD63" s="5" t="s">
        <v>50</v>
      </c>
      <c r="AF63" s="5" t="s">
        <v>51</v>
      </c>
      <c r="AG63" s="5" t="s">
        <v>52</v>
      </c>
      <c r="AH63" s="5" t="s">
        <v>81</v>
      </c>
      <c r="AI63" s="5" t="s">
        <v>32</v>
      </c>
      <c r="AJ63" s="5" t="s">
        <v>33</v>
      </c>
      <c r="AK63" s="5" t="s">
        <v>107</v>
      </c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 t="s">
        <v>54</v>
      </c>
      <c r="BC63" s="5" t="s">
        <v>55</v>
      </c>
      <c r="BD63" s="5" t="s">
        <v>68</v>
      </c>
      <c r="BE63" s="5" t="s">
        <v>76</v>
      </c>
      <c r="BF63" s="5" t="s">
        <v>77</v>
      </c>
      <c r="BG63" s="5" t="s">
        <v>78</v>
      </c>
      <c r="BH63" s="5" t="s">
        <v>111</v>
      </c>
      <c r="BI63" s="5" t="s">
        <v>122</v>
      </c>
      <c r="BJ63" s="5" t="s">
        <v>85</v>
      </c>
      <c r="BK63" s="5" t="s">
        <v>124</v>
      </c>
    </row>
    <row r="64" spans="1:63" x14ac:dyDescent="0.25">
      <c r="A64">
        <v>5</v>
      </c>
      <c r="B64">
        <f>A64*60</f>
        <v>300</v>
      </c>
      <c r="C64">
        <v>7.9000000000000008E-3</v>
      </c>
      <c r="D64">
        <v>4.3E-3</v>
      </c>
      <c r="F64">
        <v>5</v>
      </c>
      <c r="G64">
        <v>7.1000000000000004E-3</v>
      </c>
      <c r="H64">
        <v>3.8E-3</v>
      </c>
      <c r="J64">
        <v>5</v>
      </c>
      <c r="N64">
        <v>5</v>
      </c>
      <c r="O64">
        <f>(C64+G64)/2</f>
        <v>7.5000000000000006E-3</v>
      </c>
      <c r="P64">
        <f>(D64+H64)/2</f>
        <v>4.0499999999999998E-3</v>
      </c>
      <c r="U64">
        <f>(Z64+AC64)/2</f>
        <v>5.4306730810221838E-7</v>
      </c>
      <c r="V64">
        <f>(AA64+AD64)/2</f>
        <v>6.5254173835007607E-7</v>
      </c>
      <c r="W64">
        <f>_xlfn.STDEV.P(Z64,AC64)</f>
        <v>1.6234892292440922E-8</v>
      </c>
      <c r="X64">
        <f>_xlfn.STDEV.P(AA64,AD64)</f>
        <v>4.071254874532052E-8</v>
      </c>
      <c r="Y64">
        <v>5</v>
      </c>
      <c r="Z64">
        <f>((C64*$U$7)-(D64*$U$6))/(($U$7*$U$4)-($U$6*$U$5))</f>
        <v>5.5930220039465936E-7</v>
      </c>
      <c r="AA64">
        <f>((D64*$U$4)-(C64*$U$5))/(($U$7*$U$4)-($U$6*$U$5))</f>
        <v>6.9325428709539664E-7</v>
      </c>
      <c r="AC64">
        <f>((G64*$U$7)-(H64*$U$6))/(($U$7*$U$4)-($U$6*$U$5))</f>
        <v>5.2683241580977751E-7</v>
      </c>
      <c r="AD64">
        <f>((H64*$U$4)-(G64*$U$5))/(($U$7*$U$4)-($U$6*$U$5))</f>
        <v>6.118291896047556E-7</v>
      </c>
      <c r="AF64">
        <f>((K64*$U$7)-(L64*$U$6))/(($U$7*$U$4)-($U$6*$U$5))</f>
        <v>0</v>
      </c>
      <c r="AG64">
        <f>((L64*$U$4)-(K64*$U$5))/(($U$7*$U$4)-($U$6*$U$5))</f>
        <v>0</v>
      </c>
      <c r="AH64">
        <f>AI64+AJ64</f>
        <v>1.1956090464522944E-6</v>
      </c>
      <c r="AI64">
        <f>(Z64+AC64)/2</f>
        <v>5.4306730810221838E-7</v>
      </c>
      <c r="AJ64">
        <f>(AA64+AD64)/2</f>
        <v>6.5254173835007607E-7</v>
      </c>
      <c r="AK64">
        <f t="shared" si="18"/>
        <v>0.99999880439095357</v>
      </c>
      <c r="AL64">
        <f>Z64*500000</f>
        <v>0.27965110019732969</v>
      </c>
      <c r="AM64">
        <f>AA64*500000</f>
        <v>0.3466271435476983</v>
      </c>
      <c r="AN64">
        <f>AL64/$U$22</f>
        <v>1.4443296157283835E-2</v>
      </c>
      <c r="AO64">
        <f>AM64/$V$22</f>
        <v>7.672476505106429E-3</v>
      </c>
      <c r="AP64">
        <f>AC64*500000</f>
        <v>0.26341620790488873</v>
      </c>
      <c r="AQ64">
        <f>AD64*500000</f>
        <v>0.30591459480237781</v>
      </c>
      <c r="AR64">
        <f>AP64/$U$22</f>
        <v>1.3604803631075749E-2</v>
      </c>
      <c r="AS64">
        <f>AQ64/$V$22</f>
        <v>6.7713177830443531E-3</v>
      </c>
      <c r="AX64">
        <f>(AN64+AR64)/2</f>
        <v>1.4024049894179793E-2</v>
      </c>
      <c r="AY64">
        <f>(AO64+AS64)/2</f>
        <v>7.2218971440753911E-3</v>
      </c>
      <c r="BB64">
        <f t="shared" ref="BB64:BB75" si="137">_xlfn.STDEV.P(Z64,AC64,AF64)</f>
        <v>2.5634734088846083E-7</v>
      </c>
      <c r="BC64">
        <f t="shared" ref="BC64:BC75" si="138">_xlfn.STDEV.P(AA64,AD64,AG64)</f>
        <v>3.0940202368258662E-7</v>
      </c>
      <c r="BD64" t="str">
        <f t="array" ref="BD64:BD75">Diffusion1D_xl(B64:B75,BK69,BK74,BK67,BK68)</f>
        <v>Local funcId 1690017899200 not found</v>
      </c>
      <c r="BE64" t="e">
        <f t="shared" ref="BE64:BE75" si="139">BD64/(1-BD64)*$BK$71</f>
        <v>#VALUE!</v>
      </c>
      <c r="BF64" t="e">
        <f>BE64/$BK$75</f>
        <v>#VALUE!</v>
      </c>
      <c r="BG64" t="e">
        <f t="shared" ref="BG64:BG75" si="140">(1-BF64/AH64)^2</f>
        <v>#VALUE!</v>
      </c>
      <c r="BH64" t="str">
        <f t="shared" ref="BH64:BH75" si="141">ev_THFaktor($U$17,BD64)</f>
        <v>Local funcId 1690017901696 not found</v>
      </c>
      <c r="BI64" t="e">
        <f>AVERAGE(BH64:BH75)</f>
        <v>#DIV/0!</v>
      </c>
      <c r="BJ64" s="10">
        <f>BK74</f>
        <v>3.9819451061198076E-11</v>
      </c>
      <c r="BK64" s="10" t="e">
        <f>BJ64/BI64</f>
        <v>#DIV/0!</v>
      </c>
    </row>
    <row r="65" spans="1:63" x14ac:dyDescent="0.25">
      <c r="A65">
        <v>15</v>
      </c>
      <c r="B65">
        <f t="shared" ref="B65:B75" si="142">A65*60</f>
        <v>900</v>
      </c>
      <c r="C65">
        <v>1.11E-2</v>
      </c>
      <c r="D65">
        <v>7.3000000000000001E-3</v>
      </c>
      <c r="F65">
        <v>15</v>
      </c>
      <c r="G65">
        <v>1.0500000000000001E-2</v>
      </c>
      <c r="H65">
        <v>7.3000000000000001E-3</v>
      </c>
      <c r="J65">
        <v>15</v>
      </c>
      <c r="N65">
        <v>15</v>
      </c>
      <c r="O65">
        <f t="shared" ref="O65:O75" si="143">(C65+G65)/2</f>
        <v>1.0800000000000001E-2</v>
      </c>
      <c r="P65">
        <f t="shared" ref="P65:P75" si="144">(D65+H65)/2</f>
        <v>7.3000000000000001E-3</v>
      </c>
      <c r="U65">
        <f t="shared" ref="U65:U75" si="145">(Z65+AC65)/2</f>
        <v>2.3243669159719901E-7</v>
      </c>
      <c r="V65">
        <f t="shared" ref="V65:V75" si="146">(AA65+AD65)/2</f>
        <v>1.1948469774469122E-6</v>
      </c>
      <c r="W65">
        <f t="shared" ref="W65:W75" si="147">_xlfn.STDEV.P(Z65,AC65)</f>
        <v>8.2371192048434163E-8</v>
      </c>
      <c r="X65">
        <f t="shared" ref="X65:X75" si="148">_xlfn.STDEV.P(AA65,AD65)</f>
        <v>2.0592798012109381E-9</v>
      </c>
      <c r="Y65">
        <v>15</v>
      </c>
      <c r="Z65">
        <f t="shared" ref="Z65:Z75" si="149">((C65*$U$7)-(D65*$U$6))/(($U$7*$U$4)-($U$6*$U$5))</f>
        <v>3.1480788364563318E-7</v>
      </c>
      <c r="AA65">
        <f t="shared" ref="AA65:AA75" si="150">((D65*$U$4)-(C65*$U$5))/(($U$7*$U$4)-($U$6*$U$5))</f>
        <v>1.1927876976457012E-6</v>
      </c>
      <c r="AC65">
        <f t="shared" ref="AC65:AC75" si="151">((G65*$U$7)-(H65*$U$6))/(($U$7*$U$4)-($U$6*$U$5))</f>
        <v>1.5006549954876485E-7</v>
      </c>
      <c r="AD65">
        <f t="shared" ref="AD65:AD75" si="152">((H65*$U$4)-(G65*$U$5))/(($U$7*$U$4)-($U$6*$U$5))</f>
        <v>1.1969062572481231E-6</v>
      </c>
      <c r="AF65">
        <f t="shared" ref="AF65:AF75" si="153">((K65*$U$7)-(L65*$U$6))/(($U$7*$U$4)-($U$6*$U$5))</f>
        <v>0</v>
      </c>
      <c r="AG65">
        <f t="shared" ref="AG65:AG75" si="154">((L65*$U$4)-(K65*$U$5))/(($U$7*$U$4)-($U$6*$U$5))</f>
        <v>0</v>
      </c>
      <c r="AH65">
        <f t="shared" si="15"/>
        <v>1.4272836690441112E-6</v>
      </c>
      <c r="AI65">
        <f t="shared" ref="AI65:AI75" si="155">(Z65+AC65)/2</f>
        <v>2.3243669159719901E-7</v>
      </c>
      <c r="AJ65">
        <f t="shared" ref="AJ65:AJ75" si="156">(AA65+AD65)/2</f>
        <v>1.1948469774469122E-6</v>
      </c>
      <c r="AK65">
        <f t="shared" si="18"/>
        <v>0.99999857271633097</v>
      </c>
      <c r="AL65">
        <f t="shared" ref="AL65:AL75" si="157">Z65*500000</f>
        <v>0.15740394182281658</v>
      </c>
      <c r="AM65">
        <f t="shared" ref="AM65:AM75" si="158">AA65*500000</f>
        <v>0.59639384882285063</v>
      </c>
      <c r="AN65">
        <f t="shared" ref="AN65:AN75" si="159">AL65/$U$22</f>
        <v>8.1295290684235376E-3</v>
      </c>
      <c r="AO65">
        <f t="shared" ref="AO65:AO75" si="160">AM65/$V$22</f>
        <v>1.320097943297292E-2</v>
      </c>
      <c r="AP65">
        <f t="shared" ref="AP65:AP75" si="161">AC65*500000</f>
        <v>7.5032749774382429E-2</v>
      </c>
      <c r="AQ65">
        <f t="shared" ref="AQ65:AQ75" si="162">AD65*500000</f>
        <v>0.59845312862406153</v>
      </c>
      <c r="AR65">
        <f t="shared" ref="AR65:AR75" si="163">AP65/$U$22</f>
        <v>3.8752582261327552E-3</v>
      </c>
      <c r="AS65">
        <f t="shared" ref="AS65:AS75" si="164">AQ65/$V$22</f>
        <v>1.324656090628318E-2</v>
      </c>
      <c r="AX65">
        <f t="shared" ref="AX65:AX75" si="165">(AN65+AR65)/2</f>
        <v>6.002393647278146E-3</v>
      </c>
      <c r="AY65">
        <f t="shared" ref="AY65:AY75" si="166">(AO65+AS65)/2</f>
        <v>1.322377016962805E-2</v>
      </c>
      <c r="BB65">
        <f t="shared" si="137"/>
        <v>1.2856632999618133E-7</v>
      </c>
      <c r="BC65">
        <f t="shared" si="138"/>
        <v>5.6325877641018029E-7</v>
      </c>
      <c r="BD65" t="str">
        <v>Local funcId 1690017899200 not found</v>
      </c>
      <c r="BE65" t="e">
        <f t="shared" si="139"/>
        <v>#VALUE!</v>
      </c>
      <c r="BF65" t="e">
        <f t="shared" ref="BF65:BF75" si="167">BE65/$BK$15</f>
        <v>#VALUE!</v>
      </c>
      <c r="BG65" t="e">
        <f t="shared" si="140"/>
        <v>#VALUE!</v>
      </c>
      <c r="BH65" t="str">
        <f t="shared" si="141"/>
        <v>Local funcId 1690017901696 not found</v>
      </c>
    </row>
    <row r="66" spans="1:63" x14ac:dyDescent="0.25">
      <c r="A66">
        <v>35</v>
      </c>
      <c r="B66">
        <f t="shared" si="142"/>
        <v>2100</v>
      </c>
      <c r="C66">
        <v>2.86E-2</v>
      </c>
      <c r="D66">
        <v>2.2599999999999999E-2</v>
      </c>
      <c r="F66">
        <v>35</v>
      </c>
      <c r="G66">
        <v>1.9800000000000002E-2</v>
      </c>
      <c r="H66">
        <v>1.3599999999999999E-2</v>
      </c>
      <c r="J66">
        <v>30</v>
      </c>
      <c r="N66">
        <v>30</v>
      </c>
      <c r="O66">
        <f t="shared" si="143"/>
        <v>2.4199999999999999E-2</v>
      </c>
      <c r="P66">
        <f t="shared" si="144"/>
        <v>1.8099999999999998E-2</v>
      </c>
      <c r="U66">
        <f t="shared" si="145"/>
        <v>-1.315500451957717E-7</v>
      </c>
      <c r="V66">
        <f t="shared" si="146"/>
        <v>2.9802624353404203E-6</v>
      </c>
      <c r="W66">
        <f t="shared" si="147"/>
        <v>4.7656973118811762E-7</v>
      </c>
      <c r="X66">
        <f t="shared" si="148"/>
        <v>7.5204582222707127E-7</v>
      </c>
      <c r="Y66">
        <v>30</v>
      </c>
      <c r="Z66">
        <f t="shared" si="149"/>
        <v>-6.0811977638388931E-7</v>
      </c>
      <c r="AA66">
        <f t="shared" si="150"/>
        <v>3.7323082575674918E-6</v>
      </c>
      <c r="AC66">
        <f t="shared" si="151"/>
        <v>3.4501968599234592E-7</v>
      </c>
      <c r="AD66">
        <f t="shared" si="152"/>
        <v>2.2282166131133492E-6</v>
      </c>
      <c r="AF66">
        <f t="shared" si="153"/>
        <v>0</v>
      </c>
      <c r="AG66">
        <f t="shared" si="154"/>
        <v>0</v>
      </c>
      <c r="AH66">
        <f t="shared" si="15"/>
        <v>2.8487123901446484E-6</v>
      </c>
      <c r="AI66">
        <f t="shared" si="155"/>
        <v>-1.315500451957717E-7</v>
      </c>
      <c r="AJ66">
        <f t="shared" si="156"/>
        <v>2.9802624353404203E-6</v>
      </c>
      <c r="AK66">
        <f t="shared" si="18"/>
        <v>0.99999715128760991</v>
      </c>
      <c r="AL66">
        <f t="shared" si="157"/>
        <v>-0.30405988819194468</v>
      </c>
      <c r="AM66">
        <f t="shared" si="158"/>
        <v>1.866154128783746</v>
      </c>
      <c r="AN66">
        <f t="shared" si="159"/>
        <v>-1.5703950428258683E-2</v>
      </c>
      <c r="AO66">
        <f t="shared" si="160"/>
        <v>4.1306700800915176E-2</v>
      </c>
      <c r="AP66">
        <f t="shared" si="161"/>
        <v>0.17250984299617295</v>
      </c>
      <c r="AQ66">
        <f t="shared" si="162"/>
        <v>1.1141083065566746</v>
      </c>
      <c r="AR66">
        <f t="shared" si="163"/>
        <v>8.9097119613765572E-3</v>
      </c>
      <c r="AS66">
        <f t="shared" si="164"/>
        <v>2.4660416719568694E-2</v>
      </c>
      <c r="AX66">
        <f t="shared" si="165"/>
        <v>-3.397119233441063E-3</v>
      </c>
      <c r="AY66">
        <f t="shared" si="166"/>
        <v>3.2983558760241935E-2</v>
      </c>
      <c r="BB66">
        <f t="shared" si="137"/>
        <v>3.9402807019160836E-7</v>
      </c>
      <c r="BC66">
        <f t="shared" si="138"/>
        <v>1.5332378912099561E-6</v>
      </c>
      <c r="BD66" t="str">
        <v>Local funcId 1690017899200 not found</v>
      </c>
      <c r="BE66" t="e">
        <f t="shared" si="139"/>
        <v>#VALUE!</v>
      </c>
      <c r="BF66" t="e">
        <f t="shared" si="167"/>
        <v>#VALUE!</v>
      </c>
      <c r="BG66" t="e">
        <f t="shared" si="140"/>
        <v>#VALUE!</v>
      </c>
      <c r="BH66" t="str">
        <f t="shared" si="141"/>
        <v>Local funcId 1690017901696 not found</v>
      </c>
      <c r="BJ66" s="6" t="s">
        <v>69</v>
      </c>
      <c r="BK66" s="6"/>
    </row>
    <row r="67" spans="1:63" x14ac:dyDescent="0.25">
      <c r="A67">
        <v>60</v>
      </c>
      <c r="B67">
        <f t="shared" si="142"/>
        <v>3600</v>
      </c>
      <c r="C67">
        <v>3.3599999999999998E-2</v>
      </c>
      <c r="D67">
        <v>2.3699999999999999E-2</v>
      </c>
      <c r="F67">
        <v>60</v>
      </c>
      <c r="G67">
        <v>3.1E-2</v>
      </c>
      <c r="H67">
        <v>2.24E-2</v>
      </c>
      <c r="J67">
        <v>60</v>
      </c>
      <c r="N67">
        <v>60</v>
      </c>
      <c r="O67">
        <f t="shared" si="143"/>
        <v>3.2299999999999995E-2</v>
      </c>
      <c r="P67">
        <f t="shared" si="144"/>
        <v>2.3050000000000001E-2</v>
      </c>
      <c r="U67">
        <f t="shared" si="145"/>
        <v>2.3932353742361676E-7</v>
      </c>
      <c r="V67">
        <f t="shared" si="146"/>
        <v>3.7851353326170409E-6</v>
      </c>
      <c r="W67">
        <f t="shared" si="147"/>
        <v>1.1359908640232271E-7</v>
      </c>
      <c r="X67">
        <f t="shared" si="148"/>
        <v>1.0406791757678366E-7</v>
      </c>
      <c r="Y67">
        <v>60</v>
      </c>
      <c r="Z67">
        <f t="shared" si="149"/>
        <v>3.5292262382593944E-7</v>
      </c>
      <c r="AA67">
        <f t="shared" si="150"/>
        <v>3.8892032501938245E-6</v>
      </c>
      <c r="AC67">
        <f t="shared" si="151"/>
        <v>1.2572445102129403E-7</v>
      </c>
      <c r="AD67">
        <f t="shared" si="152"/>
        <v>3.6810674150402572E-6</v>
      </c>
      <c r="AF67">
        <f t="shared" si="153"/>
        <v>0</v>
      </c>
      <c r="AG67">
        <f t="shared" si="154"/>
        <v>0</v>
      </c>
      <c r="AH67">
        <f t="shared" si="15"/>
        <v>4.0244588700406578E-6</v>
      </c>
      <c r="AI67">
        <f t="shared" si="155"/>
        <v>2.3932353742361676E-7</v>
      </c>
      <c r="AJ67">
        <f t="shared" si="156"/>
        <v>3.7851353326170409E-6</v>
      </c>
      <c r="AK67">
        <f t="shared" si="18"/>
        <v>0.99999597554112996</v>
      </c>
      <c r="AL67">
        <f t="shared" si="157"/>
        <v>0.17646131191296971</v>
      </c>
      <c r="AM67">
        <f t="shared" si="158"/>
        <v>1.9446016250969123</v>
      </c>
      <c r="AN67">
        <f t="shared" si="159"/>
        <v>9.1137956777693242E-3</v>
      </c>
      <c r="AO67">
        <f t="shared" si="160"/>
        <v>4.3043110033576346E-2</v>
      </c>
      <c r="AP67">
        <f t="shared" si="161"/>
        <v>6.2862225510647018E-2</v>
      </c>
      <c r="AQ67">
        <f t="shared" si="162"/>
        <v>1.8405337075201287</v>
      </c>
      <c r="AR67">
        <f t="shared" si="163"/>
        <v>3.2466803796429603E-3</v>
      </c>
      <c r="AS67">
        <f t="shared" si="164"/>
        <v>4.0739601299750509E-2</v>
      </c>
      <c r="AX67">
        <f t="shared" si="165"/>
        <v>6.1802380287061427E-3</v>
      </c>
      <c r="AY67">
        <f t="shared" si="166"/>
        <v>4.1891355666663424E-2</v>
      </c>
      <c r="BB67">
        <f t="shared" si="137"/>
        <v>1.4605175099508045E-7</v>
      </c>
      <c r="BC67">
        <f t="shared" si="138"/>
        <v>1.7863519549089872E-6</v>
      </c>
      <c r="BD67" t="str">
        <v>Local funcId 1690017899200 not found</v>
      </c>
      <c r="BE67" t="e">
        <f t="shared" si="139"/>
        <v>#VALUE!</v>
      </c>
      <c r="BF67" t="e">
        <f t="shared" si="167"/>
        <v>#VALUE!</v>
      </c>
      <c r="BG67" t="e">
        <f t="shared" si="140"/>
        <v>#VALUE!</v>
      </c>
      <c r="BH67" t="str">
        <f t="shared" si="141"/>
        <v>Local funcId 1690017901696 not found</v>
      </c>
      <c r="BJ67" t="s">
        <v>70</v>
      </c>
      <c r="BK67" s="7">
        <v>1E-4</v>
      </c>
    </row>
    <row r="68" spans="1:63" x14ac:dyDescent="0.25">
      <c r="A68">
        <v>90</v>
      </c>
      <c r="B68">
        <f t="shared" si="142"/>
        <v>5400</v>
      </c>
      <c r="C68">
        <v>4.6300000000000001E-2</v>
      </c>
      <c r="D68">
        <v>3.2399999999999998E-2</v>
      </c>
      <c r="F68">
        <v>90</v>
      </c>
      <c r="G68">
        <v>4.2200000000000001E-2</v>
      </c>
      <c r="H68">
        <v>3.0800000000000001E-2</v>
      </c>
      <c r="J68">
        <v>90</v>
      </c>
      <c r="N68">
        <v>90</v>
      </c>
      <c r="O68">
        <f t="shared" si="143"/>
        <v>4.4249999999999998E-2</v>
      </c>
      <c r="P68">
        <f t="shared" si="144"/>
        <v>3.1600000000000003E-2</v>
      </c>
      <c r="U68">
        <f t="shared" si="145"/>
        <v>3.1954964634579025E-7</v>
      </c>
      <c r="V68">
        <f t="shared" si="146"/>
        <v>5.1893796798939877E-6</v>
      </c>
      <c r="W68">
        <f t="shared" si="147"/>
        <v>2.6337104826012572E-7</v>
      </c>
      <c r="X68">
        <f t="shared" si="148"/>
        <v>1.2499467116191788E-7</v>
      </c>
      <c r="Y68">
        <v>90</v>
      </c>
      <c r="Z68">
        <f t="shared" si="149"/>
        <v>5.8292069460591598E-7</v>
      </c>
      <c r="AA68">
        <f t="shared" si="150"/>
        <v>5.3143743510559051E-6</v>
      </c>
      <c r="AC68">
        <f t="shared" si="151"/>
        <v>5.6178598085664585E-8</v>
      </c>
      <c r="AD68">
        <f t="shared" si="152"/>
        <v>5.0643850087320694E-6</v>
      </c>
      <c r="AF68">
        <f t="shared" si="153"/>
        <v>0</v>
      </c>
      <c r="AG68">
        <f t="shared" si="154"/>
        <v>0</v>
      </c>
      <c r="AH68">
        <f t="shared" si="15"/>
        <v>5.5089293262397778E-6</v>
      </c>
      <c r="AI68">
        <f t="shared" si="155"/>
        <v>3.1954964634579025E-7</v>
      </c>
      <c r="AJ68">
        <f t="shared" si="156"/>
        <v>5.1893796798939877E-6</v>
      </c>
      <c r="AK68">
        <f t="shared" si="18"/>
        <v>0.99999449107067384</v>
      </c>
      <c r="AL68">
        <f t="shared" si="157"/>
        <v>0.291460347302958</v>
      </c>
      <c r="AM68">
        <f t="shared" si="158"/>
        <v>2.6571871755279526</v>
      </c>
      <c r="AN68">
        <f t="shared" si="159"/>
        <v>1.5053214921132006E-2</v>
      </c>
      <c r="AO68">
        <f t="shared" si="160"/>
        <v>5.88159541265207E-2</v>
      </c>
      <c r="AP68">
        <f t="shared" si="161"/>
        <v>2.8089299042832291E-2</v>
      </c>
      <c r="AQ68">
        <f t="shared" si="162"/>
        <v>2.5321925043660345</v>
      </c>
      <c r="AR68">
        <f t="shared" si="163"/>
        <v>1.4507436753864416E-3</v>
      </c>
      <c r="AS68">
        <f t="shared" si="164"/>
        <v>5.6049238664085045E-2</v>
      </c>
      <c r="AX68">
        <f t="shared" si="165"/>
        <v>8.2519792982592242E-3</v>
      </c>
      <c r="AY68">
        <f t="shared" si="166"/>
        <v>5.7432596395302876E-2</v>
      </c>
      <c r="BB68">
        <f t="shared" si="137"/>
        <v>2.6255365744278807E-7</v>
      </c>
      <c r="BC68">
        <f t="shared" si="138"/>
        <v>2.4484250023934095E-6</v>
      </c>
      <c r="BD68" t="str">
        <v>Local funcId 1690017899200 not found</v>
      </c>
      <c r="BE68" t="e">
        <f t="shared" si="139"/>
        <v>#VALUE!</v>
      </c>
      <c r="BF68" t="e">
        <f t="shared" si="167"/>
        <v>#VALUE!</v>
      </c>
      <c r="BG68" t="e">
        <f t="shared" si="140"/>
        <v>#VALUE!</v>
      </c>
      <c r="BH68" t="str">
        <f t="shared" si="141"/>
        <v>Local funcId 1690017901696 not found</v>
      </c>
      <c r="BJ68" t="s">
        <v>121</v>
      </c>
      <c r="BK68">
        <f>1-BK71/($BK$75+BK71)</f>
        <v>0.99987093490099932</v>
      </c>
    </row>
    <row r="69" spans="1:63" x14ac:dyDescent="0.25">
      <c r="A69">
        <v>120</v>
      </c>
      <c r="B69">
        <f t="shared" si="142"/>
        <v>7200</v>
      </c>
      <c r="C69">
        <v>5.91E-2</v>
      </c>
      <c r="D69">
        <v>4.19E-2</v>
      </c>
      <c r="F69">
        <v>120</v>
      </c>
      <c r="G69">
        <v>5.3199999999999997E-2</v>
      </c>
      <c r="H69">
        <v>3.8800000000000001E-2</v>
      </c>
      <c r="J69">
        <v>120</v>
      </c>
      <c r="N69">
        <v>120</v>
      </c>
      <c r="O69">
        <f t="shared" si="143"/>
        <v>5.6149999999999999E-2</v>
      </c>
      <c r="P69">
        <f t="shared" si="144"/>
        <v>4.0349999999999997E-2</v>
      </c>
      <c r="U69">
        <f t="shared" si="145"/>
        <v>3.1117253224217887E-7</v>
      </c>
      <c r="V69">
        <f t="shared" si="146"/>
        <v>6.6287338445886829E-6</v>
      </c>
      <c r="W69">
        <f t="shared" si="147"/>
        <v>2.2970453308901369E-7</v>
      </c>
      <c r="X69">
        <f t="shared" si="148"/>
        <v>2.4919159719909E-7</v>
      </c>
      <c r="Y69">
        <v>120</v>
      </c>
      <c r="Z69">
        <f t="shared" si="149"/>
        <v>5.4087706533119253E-7</v>
      </c>
      <c r="AA69">
        <f t="shared" si="150"/>
        <v>6.8779254417877729E-6</v>
      </c>
      <c r="AC69">
        <f t="shared" si="151"/>
        <v>8.1467999153165151E-8</v>
      </c>
      <c r="AD69">
        <f t="shared" si="152"/>
        <v>6.3795422473895929E-6</v>
      </c>
      <c r="AF69">
        <f t="shared" si="153"/>
        <v>0</v>
      </c>
      <c r="AG69">
        <f t="shared" si="154"/>
        <v>0</v>
      </c>
      <c r="AH69">
        <f t="shared" ref="AH69:AH75" si="168">AI69+AJ69</f>
        <v>6.9399063768308619E-6</v>
      </c>
      <c r="AI69">
        <f t="shared" si="155"/>
        <v>3.1117253224217887E-7</v>
      </c>
      <c r="AJ69">
        <f t="shared" si="156"/>
        <v>6.6287338445886829E-6</v>
      </c>
      <c r="AK69">
        <f t="shared" ref="AK69:AK132" si="169">1-AI69-AJ69</f>
        <v>0.9999930600936231</v>
      </c>
      <c r="AL69">
        <f t="shared" si="157"/>
        <v>0.27043853266559625</v>
      </c>
      <c r="AM69">
        <f t="shared" si="158"/>
        <v>3.4389627208938864</v>
      </c>
      <c r="AN69">
        <f t="shared" si="159"/>
        <v>1.3967489549922331E-2</v>
      </c>
      <c r="AO69">
        <f t="shared" si="160"/>
        <v>7.6120295738941218E-2</v>
      </c>
      <c r="AP69">
        <f t="shared" si="161"/>
        <v>4.0733999576582573E-2</v>
      </c>
      <c r="AQ69">
        <f t="shared" si="162"/>
        <v>3.1897711236947965</v>
      </c>
      <c r="AR69">
        <f t="shared" si="163"/>
        <v>2.1038115678433302E-3</v>
      </c>
      <c r="AS69">
        <f t="shared" si="164"/>
        <v>7.0604522637009073E-2</v>
      </c>
      <c r="AX69">
        <f t="shared" si="165"/>
        <v>8.0356505588828307E-3</v>
      </c>
      <c r="AY69">
        <f t="shared" si="166"/>
        <v>7.3362409187975153E-2</v>
      </c>
      <c r="BB69">
        <f t="shared" si="137"/>
        <v>2.3810402133285043E-7</v>
      </c>
      <c r="BC69">
        <f t="shared" si="138"/>
        <v>3.1314321089643942E-6</v>
      </c>
      <c r="BD69" t="str">
        <v>Local funcId 1690017899200 not found</v>
      </c>
      <c r="BE69" t="e">
        <f t="shared" si="139"/>
        <v>#VALUE!</v>
      </c>
      <c r="BF69" t="e">
        <f t="shared" si="167"/>
        <v>#VALUE!</v>
      </c>
      <c r="BG69" t="e">
        <f t="shared" si="140"/>
        <v>#VALUE!</v>
      </c>
      <c r="BH69" t="str">
        <f t="shared" si="141"/>
        <v>Local funcId 1690017901696 not found</v>
      </c>
      <c r="BJ69" t="s">
        <v>73</v>
      </c>
      <c r="BK69">
        <v>1E-3</v>
      </c>
    </row>
    <row r="70" spans="1:63" x14ac:dyDescent="0.25">
      <c r="A70">
        <v>150</v>
      </c>
      <c r="B70">
        <f t="shared" si="142"/>
        <v>9000</v>
      </c>
      <c r="C70">
        <v>7.1300000000000002E-2</v>
      </c>
      <c r="D70">
        <v>5.11E-2</v>
      </c>
      <c r="F70">
        <v>150</v>
      </c>
      <c r="G70">
        <v>6.7000000000000004E-2</v>
      </c>
      <c r="H70">
        <v>4.8599999999999997E-2</v>
      </c>
      <c r="J70">
        <v>150</v>
      </c>
      <c r="N70">
        <v>150</v>
      </c>
      <c r="O70">
        <f t="shared" si="143"/>
        <v>6.9150000000000003E-2</v>
      </c>
      <c r="P70">
        <f t="shared" si="144"/>
        <v>4.9849999999999998E-2</v>
      </c>
      <c r="U70">
        <f t="shared" si="145"/>
        <v>3.2404303099974908E-7</v>
      </c>
      <c r="V70">
        <f t="shared" si="146"/>
        <v>8.1909120821197419E-6</v>
      </c>
      <c r="W70">
        <f t="shared" si="147"/>
        <v>1.2236005748642232E-7</v>
      </c>
      <c r="X70">
        <f t="shared" si="148"/>
        <v>2.0253310382599739E-7</v>
      </c>
      <c r="Y70">
        <v>150</v>
      </c>
      <c r="Z70">
        <f t="shared" si="149"/>
        <v>4.464030884861714E-7</v>
      </c>
      <c r="AA70">
        <f t="shared" si="150"/>
        <v>8.3934451859457393E-6</v>
      </c>
      <c r="AC70">
        <f t="shared" si="151"/>
        <v>2.016829735133268E-7</v>
      </c>
      <c r="AD70">
        <f t="shared" si="152"/>
        <v>7.9883789782937445E-6</v>
      </c>
      <c r="AF70">
        <f t="shared" si="153"/>
        <v>0</v>
      </c>
      <c r="AG70">
        <f t="shared" si="154"/>
        <v>0</v>
      </c>
      <c r="AH70">
        <f t="shared" si="168"/>
        <v>8.5149551131194908E-6</v>
      </c>
      <c r="AI70">
        <f t="shared" si="155"/>
        <v>3.2404303099974908E-7</v>
      </c>
      <c r="AJ70">
        <f t="shared" si="156"/>
        <v>8.1909120821197419E-6</v>
      </c>
      <c r="AK70">
        <f t="shared" si="169"/>
        <v>0.99999148504488689</v>
      </c>
      <c r="AL70">
        <f t="shared" si="157"/>
        <v>0.22320154424308569</v>
      </c>
      <c r="AM70">
        <f t="shared" si="158"/>
        <v>4.1967225929728693</v>
      </c>
      <c r="AN70">
        <f t="shared" si="159"/>
        <v>1.1527814494529781E-2</v>
      </c>
      <c r="AO70">
        <f t="shared" si="160"/>
        <v>9.2893058412786514E-2</v>
      </c>
      <c r="AP70">
        <f t="shared" si="161"/>
        <v>0.10084148675666339</v>
      </c>
      <c r="AQ70">
        <f t="shared" si="162"/>
        <v>3.9941894891468723</v>
      </c>
      <c r="AR70">
        <f t="shared" si="163"/>
        <v>5.20821644234394E-3</v>
      </c>
      <c r="AS70">
        <f t="shared" si="164"/>
        <v>8.8410055539131255E-2</v>
      </c>
      <c r="AX70">
        <f t="shared" si="165"/>
        <v>8.36801546843686E-3</v>
      </c>
      <c r="AY70">
        <f t="shared" si="166"/>
        <v>9.0651556975958891E-2</v>
      </c>
      <c r="BB70">
        <f t="shared" si="137"/>
        <v>1.825253936328654E-7</v>
      </c>
      <c r="BC70">
        <f t="shared" si="138"/>
        <v>3.8647725162737251E-6</v>
      </c>
      <c r="BD70" t="str">
        <v>Local funcId 1690017899200 not found</v>
      </c>
      <c r="BE70" t="e">
        <f t="shared" si="139"/>
        <v>#VALUE!</v>
      </c>
      <c r="BF70" t="e">
        <f t="shared" si="167"/>
        <v>#VALUE!</v>
      </c>
      <c r="BG70" t="e">
        <f t="shared" si="140"/>
        <v>#VALUE!</v>
      </c>
      <c r="BH70" t="str">
        <f t="shared" si="141"/>
        <v>Local funcId 1690017901696 not found</v>
      </c>
      <c r="BJ70" t="s">
        <v>74</v>
      </c>
      <c r="BK70">
        <f>PI()/4*0.008^2</f>
        <v>5.0265482457436686E-5</v>
      </c>
    </row>
    <row r="71" spans="1:63" x14ac:dyDescent="0.25">
      <c r="A71">
        <v>180</v>
      </c>
      <c r="B71">
        <f t="shared" si="142"/>
        <v>10800</v>
      </c>
      <c r="C71">
        <v>8.3699999999999997E-2</v>
      </c>
      <c r="D71">
        <v>6.0100000000000001E-2</v>
      </c>
      <c r="F71">
        <v>180</v>
      </c>
      <c r="G71">
        <v>7.5300000000000006E-2</v>
      </c>
      <c r="H71">
        <v>5.5E-2</v>
      </c>
      <c r="J71">
        <v>180</v>
      </c>
      <c r="N71">
        <v>180</v>
      </c>
      <c r="O71">
        <f t="shared" si="143"/>
        <v>7.9500000000000001E-2</v>
      </c>
      <c r="P71">
        <f t="shared" si="144"/>
        <v>5.7550000000000004E-2</v>
      </c>
      <c r="U71">
        <f t="shared" si="145"/>
        <v>2.8317355248887436E-7</v>
      </c>
      <c r="V71">
        <f t="shared" si="146"/>
        <v>9.4583811875035691E-6</v>
      </c>
      <c r="W71">
        <f t="shared" si="147"/>
        <v>1.9854437820226925E-7</v>
      </c>
      <c r="X71">
        <f t="shared" si="148"/>
        <v>4.1444428528178608E-7</v>
      </c>
      <c r="Y71">
        <v>180</v>
      </c>
      <c r="Z71">
        <f t="shared" si="149"/>
        <v>4.8171793069114364E-7</v>
      </c>
      <c r="AA71">
        <f t="shared" si="150"/>
        <v>9.8728254727853544E-6</v>
      </c>
      <c r="AC71">
        <f t="shared" si="151"/>
        <v>8.4629174286605131E-8</v>
      </c>
      <c r="AD71">
        <f t="shared" si="152"/>
        <v>9.0439369022217822E-6</v>
      </c>
      <c r="AF71">
        <f t="shared" si="153"/>
        <v>0</v>
      </c>
      <c r="AG71">
        <f t="shared" si="154"/>
        <v>0</v>
      </c>
      <c r="AH71">
        <f t="shared" si="168"/>
        <v>9.7415547399924442E-6</v>
      </c>
      <c r="AI71">
        <f t="shared" si="155"/>
        <v>2.8317355248887436E-7</v>
      </c>
      <c r="AJ71">
        <f t="shared" si="156"/>
        <v>9.4583811875035691E-6</v>
      </c>
      <c r="AK71">
        <f t="shared" si="169"/>
        <v>0.99999025844526002</v>
      </c>
      <c r="AL71">
        <f t="shared" si="157"/>
        <v>0.24085896534557183</v>
      </c>
      <c r="AM71">
        <f t="shared" si="158"/>
        <v>4.9364127363926773</v>
      </c>
      <c r="AN71">
        <f t="shared" si="159"/>
        <v>1.2439777158639177E-2</v>
      </c>
      <c r="AO71">
        <f t="shared" si="160"/>
        <v>0.10926585365427148</v>
      </c>
      <c r="AP71">
        <f t="shared" si="161"/>
        <v>4.2314587143302565E-2</v>
      </c>
      <c r="AQ71">
        <f t="shared" si="162"/>
        <v>4.5219684511108911</v>
      </c>
      <c r="AR71">
        <f t="shared" si="163"/>
        <v>2.1854450544005039E-3</v>
      </c>
      <c r="AS71">
        <f t="shared" si="164"/>
        <v>0.10009226727856237</v>
      </c>
      <c r="AX71">
        <f t="shared" si="165"/>
        <v>7.3126111065198408E-3</v>
      </c>
      <c r="AY71">
        <f t="shared" si="166"/>
        <v>0.10467906046641692</v>
      </c>
      <c r="BB71">
        <f t="shared" si="137"/>
        <v>2.0999834453122429E-7</v>
      </c>
      <c r="BC71">
        <f t="shared" si="138"/>
        <v>4.4715462621367117E-6</v>
      </c>
      <c r="BD71" t="str">
        <v>Local funcId 1690017899200 not found</v>
      </c>
      <c r="BE71" t="e">
        <f t="shared" si="139"/>
        <v>#VALUE!</v>
      </c>
      <c r="BF71" t="e">
        <f t="shared" si="167"/>
        <v>#VALUE!</v>
      </c>
      <c r="BG71" t="e">
        <f t="shared" si="140"/>
        <v>#VALUE!</v>
      </c>
      <c r="BH71" t="str">
        <f t="shared" si="141"/>
        <v>Local funcId 1690017901696 not found</v>
      </c>
      <c r="BJ71" t="s">
        <v>127</v>
      </c>
      <c r="BK71">
        <f>BK70*BK69*BK72</f>
        <v>6.454087947534871E-5</v>
      </c>
    </row>
    <row r="72" spans="1:63" x14ac:dyDescent="0.25">
      <c r="A72">
        <v>215</v>
      </c>
      <c r="B72">
        <f t="shared" si="142"/>
        <v>12900</v>
      </c>
      <c r="C72">
        <v>9.7199999999999995E-2</v>
      </c>
      <c r="D72">
        <v>7.0199999999999999E-2</v>
      </c>
      <c r="F72">
        <v>215</v>
      </c>
      <c r="G72">
        <v>8.6999999999999994E-2</v>
      </c>
      <c r="H72">
        <v>6.3899999999999998E-2</v>
      </c>
      <c r="J72">
        <v>210</v>
      </c>
      <c r="N72">
        <v>210</v>
      </c>
      <c r="O72">
        <f t="shared" si="143"/>
        <v>9.2099999999999987E-2</v>
      </c>
      <c r="P72">
        <f t="shared" si="144"/>
        <v>6.7049999999999998E-2</v>
      </c>
      <c r="U72">
        <f t="shared" si="145"/>
        <v>1.8621579518186234E-7</v>
      </c>
      <c r="V72">
        <f t="shared" si="146"/>
        <v>1.1023305131436244E-5</v>
      </c>
      <c r="W72">
        <f t="shared" si="147"/>
        <v>2.2103388129444388E-7</v>
      </c>
      <c r="X72">
        <f t="shared" si="148"/>
        <v>5.1256625823079633E-7</v>
      </c>
      <c r="Y72">
        <v>210</v>
      </c>
      <c r="Z72">
        <f t="shared" si="149"/>
        <v>4.0724967647630625E-7</v>
      </c>
      <c r="AA72">
        <f t="shared" si="150"/>
        <v>1.153587138966704E-5</v>
      </c>
      <c r="AC72">
        <f t="shared" si="151"/>
        <v>-3.481808611258154E-8</v>
      </c>
      <c r="AD72">
        <f t="shared" si="152"/>
        <v>1.0510738873205447E-5</v>
      </c>
      <c r="AF72">
        <f t="shared" si="153"/>
        <v>0</v>
      </c>
      <c r="AG72">
        <f t="shared" si="154"/>
        <v>0</v>
      </c>
      <c r="AH72">
        <f t="shared" si="168"/>
        <v>1.1209520926618106E-5</v>
      </c>
      <c r="AI72">
        <f t="shared" si="155"/>
        <v>1.8621579518186234E-7</v>
      </c>
      <c r="AJ72">
        <f t="shared" si="156"/>
        <v>1.1023305131436244E-5</v>
      </c>
      <c r="AK72">
        <f t="shared" si="169"/>
        <v>0.9999887904790733</v>
      </c>
      <c r="AL72">
        <f t="shared" si="157"/>
        <v>0.20362483823815314</v>
      </c>
      <c r="AM72">
        <f t="shared" si="158"/>
        <v>5.7679356948335201</v>
      </c>
      <c r="AN72">
        <f t="shared" si="159"/>
        <v>1.0516725453886638E-2</v>
      </c>
      <c r="AO72">
        <f t="shared" si="160"/>
        <v>0.12767133770493425</v>
      </c>
      <c r="AP72">
        <f t="shared" si="161"/>
        <v>-1.740904305629077E-2</v>
      </c>
      <c r="AQ72">
        <f t="shared" si="162"/>
        <v>5.2553694366027237</v>
      </c>
      <c r="AR72">
        <f t="shared" si="163"/>
        <v>-8.9913454479344929E-4</v>
      </c>
      <c r="AS72">
        <f t="shared" si="164"/>
        <v>0.11632585410161413</v>
      </c>
      <c r="AX72">
        <f t="shared" si="165"/>
        <v>4.8087954545465942E-3</v>
      </c>
      <c r="AY72">
        <f t="shared" si="166"/>
        <v>0.12199859590327419</v>
      </c>
      <c r="BB72">
        <f t="shared" si="137"/>
        <v>2.006900608818773E-7</v>
      </c>
      <c r="BC72">
        <f t="shared" si="138"/>
        <v>5.213261477083202E-6</v>
      </c>
      <c r="BD72" t="str">
        <v>Local funcId 1690017899200 not found</v>
      </c>
      <c r="BE72" t="e">
        <f t="shared" si="139"/>
        <v>#VALUE!</v>
      </c>
      <c r="BF72" t="e">
        <f t="shared" si="167"/>
        <v>#VALUE!</v>
      </c>
      <c r="BG72" t="e">
        <f t="shared" si="140"/>
        <v>#VALUE!</v>
      </c>
      <c r="BH72" t="str">
        <f t="shared" si="141"/>
        <v>Local funcId 1690017901696 not found</v>
      </c>
      <c r="BJ72" t="s">
        <v>84</v>
      </c>
      <c r="BK72">
        <v>1284</v>
      </c>
    </row>
    <row r="73" spans="1:63" x14ac:dyDescent="0.25">
      <c r="A73">
        <v>240</v>
      </c>
      <c r="B73">
        <f t="shared" si="142"/>
        <v>14400</v>
      </c>
      <c r="C73">
        <v>0.10630000000000001</v>
      </c>
      <c r="D73">
        <v>7.6999999999999999E-2</v>
      </c>
      <c r="F73">
        <v>240</v>
      </c>
      <c r="G73">
        <v>0.10059999999999999</v>
      </c>
      <c r="H73">
        <v>7.2999999999999995E-2</v>
      </c>
      <c r="J73">
        <v>240</v>
      </c>
      <c r="N73">
        <v>240</v>
      </c>
      <c r="O73">
        <f t="shared" si="143"/>
        <v>0.10345</v>
      </c>
      <c r="P73">
        <f t="shared" si="144"/>
        <v>7.4999999999999997E-2</v>
      </c>
      <c r="U73">
        <f t="shared" si="145"/>
        <v>3.2632359306030185E-7</v>
      </c>
      <c r="V73">
        <f t="shared" si="146"/>
        <v>1.2327368225962965E-5</v>
      </c>
      <c r="W73">
        <f t="shared" si="147"/>
        <v>3.3779414283019774E-8</v>
      </c>
      <c r="X73">
        <f t="shared" si="148"/>
        <v>3.2810288306397794E-7</v>
      </c>
      <c r="Y73">
        <v>240</v>
      </c>
      <c r="Z73">
        <f t="shared" si="149"/>
        <v>3.6010300734332162E-7</v>
      </c>
      <c r="AA73">
        <f t="shared" si="150"/>
        <v>1.2655471109026944E-5</v>
      </c>
      <c r="AC73">
        <f t="shared" si="151"/>
        <v>2.9254417877728207E-7</v>
      </c>
      <c r="AD73">
        <f t="shared" si="152"/>
        <v>1.1999265342898988E-5</v>
      </c>
      <c r="AF73">
        <f t="shared" si="153"/>
        <v>0</v>
      </c>
      <c r="AG73">
        <f t="shared" si="154"/>
        <v>0</v>
      </c>
      <c r="AH73">
        <f t="shared" si="168"/>
        <v>1.2653691819023266E-5</v>
      </c>
      <c r="AI73">
        <f t="shared" si="155"/>
        <v>3.2632359306030185E-7</v>
      </c>
      <c r="AJ73">
        <f t="shared" si="156"/>
        <v>1.2327368225962965E-5</v>
      </c>
      <c r="AK73">
        <f t="shared" si="169"/>
        <v>0.99998734630818098</v>
      </c>
      <c r="AL73">
        <f t="shared" si="157"/>
        <v>0.18005150367166081</v>
      </c>
      <c r="AM73">
        <f t="shared" si="158"/>
        <v>6.3277355545134721</v>
      </c>
      <c r="AN73">
        <f t="shared" si="159"/>
        <v>9.2992203115205441E-3</v>
      </c>
      <c r="AO73">
        <f t="shared" si="160"/>
        <v>0.1400623213624656</v>
      </c>
      <c r="AP73">
        <f t="shared" si="161"/>
        <v>0.14627208938864103</v>
      </c>
      <c r="AQ73">
        <f t="shared" si="162"/>
        <v>5.9996326714494943</v>
      </c>
      <c r="AR73">
        <f t="shared" si="163"/>
        <v>7.5545960845285086E-3</v>
      </c>
      <c r="AS73">
        <f t="shared" si="164"/>
        <v>0.13279987320044034</v>
      </c>
      <c r="AX73">
        <f t="shared" si="165"/>
        <v>8.4269081980245259E-3</v>
      </c>
      <c r="AY73">
        <f t="shared" si="166"/>
        <v>0.13643109728145297</v>
      </c>
      <c r="BB73">
        <f t="shared" si="137"/>
        <v>1.5628338496724973E-7</v>
      </c>
      <c r="BC73">
        <f t="shared" si="138"/>
        <v>5.8173488021053793E-6</v>
      </c>
      <c r="BD73" t="str">
        <v>Local funcId 1690017899200 not found</v>
      </c>
      <c r="BE73" t="e">
        <f t="shared" si="139"/>
        <v>#VALUE!</v>
      </c>
      <c r="BF73" t="e">
        <f t="shared" si="167"/>
        <v>#VALUE!</v>
      </c>
      <c r="BG73" t="e">
        <f t="shared" si="140"/>
        <v>#VALUE!</v>
      </c>
      <c r="BH73" t="str">
        <f t="shared" si="141"/>
        <v>Local funcId 1690017901696 not found</v>
      </c>
      <c r="BJ73" t="s">
        <v>123</v>
      </c>
      <c r="BK73">
        <v>39.81945106119808</v>
      </c>
    </row>
    <row r="74" spans="1:63" x14ac:dyDescent="0.25">
      <c r="A74">
        <v>270</v>
      </c>
      <c r="B74">
        <f t="shared" si="142"/>
        <v>16200</v>
      </c>
      <c r="C74">
        <v>0.1187</v>
      </c>
      <c r="D74">
        <v>8.6199999999999999E-2</v>
      </c>
      <c r="F74">
        <v>270</v>
      </c>
      <c r="G74">
        <v>0.10979999999999999</v>
      </c>
      <c r="H74">
        <v>7.7299999999999994E-2</v>
      </c>
      <c r="J74">
        <v>270</v>
      </c>
      <c r="N74">
        <v>270</v>
      </c>
      <c r="O74">
        <f t="shared" si="143"/>
        <v>0.11424999999999999</v>
      </c>
      <c r="P74">
        <f t="shared" si="144"/>
        <v>8.1749999999999989E-2</v>
      </c>
      <c r="U74">
        <f t="shared" si="145"/>
        <v>7.6466568495620511E-7</v>
      </c>
      <c r="V74">
        <f t="shared" si="146"/>
        <v>1.3426607042086621E-5</v>
      </c>
      <c r="W74">
        <f t="shared" si="147"/>
        <v>4.4412252642561731E-7</v>
      </c>
      <c r="X74">
        <f t="shared" si="148"/>
        <v>7.4301095789748325E-7</v>
      </c>
      <c r="Y74">
        <v>270</v>
      </c>
      <c r="Z74">
        <f t="shared" si="149"/>
        <v>3.205431585305878E-7</v>
      </c>
      <c r="AA74">
        <f t="shared" si="150"/>
        <v>1.4169617999984104E-5</v>
      </c>
      <c r="AC74">
        <f t="shared" si="151"/>
        <v>1.2087882113818224E-6</v>
      </c>
      <c r="AD74">
        <f t="shared" si="152"/>
        <v>1.2683596084189138E-5</v>
      </c>
      <c r="AF74">
        <f t="shared" si="153"/>
        <v>0</v>
      </c>
      <c r="AG74">
        <f t="shared" si="154"/>
        <v>0</v>
      </c>
      <c r="AH74">
        <f t="shared" si="168"/>
        <v>1.4191272727042827E-5</v>
      </c>
      <c r="AI74">
        <f t="shared" si="155"/>
        <v>7.6466568495620511E-7</v>
      </c>
      <c r="AJ74">
        <f t="shared" si="156"/>
        <v>1.3426607042086621E-5</v>
      </c>
      <c r="AK74">
        <f t="shared" si="169"/>
        <v>0.99998580872727294</v>
      </c>
      <c r="AL74">
        <f t="shared" si="157"/>
        <v>0.1602715792652939</v>
      </c>
      <c r="AM74">
        <f t="shared" si="158"/>
        <v>7.0848089999920525</v>
      </c>
      <c r="AN74">
        <f t="shared" si="159"/>
        <v>8.2776355368915332E-3</v>
      </c>
      <c r="AO74">
        <f t="shared" si="160"/>
        <v>0.15681989021187417</v>
      </c>
      <c r="AP74">
        <f t="shared" si="161"/>
        <v>0.60439410569091123</v>
      </c>
      <c r="AQ74">
        <f t="shared" si="162"/>
        <v>6.3417980420945694</v>
      </c>
      <c r="AR74">
        <f t="shared" si="163"/>
        <v>3.1215479066775697E-2</v>
      </c>
      <c r="AS74">
        <f t="shared" si="164"/>
        <v>0.14037358984670789</v>
      </c>
      <c r="AX74">
        <f t="shared" si="165"/>
        <v>1.9746557301833615E-2</v>
      </c>
      <c r="AY74">
        <f t="shared" si="166"/>
        <v>0.14859674002929102</v>
      </c>
      <c r="BB74">
        <f t="shared" si="137"/>
        <v>5.1130509813082175E-7</v>
      </c>
      <c r="BC74">
        <f t="shared" si="138"/>
        <v>6.3583710791938119E-6</v>
      </c>
      <c r="BD74" t="str">
        <v>Local funcId 1690017899200 not found</v>
      </c>
      <c r="BE74" t="e">
        <f t="shared" si="139"/>
        <v>#VALUE!</v>
      </c>
      <c r="BF74" t="e">
        <f t="shared" si="167"/>
        <v>#VALUE!</v>
      </c>
      <c r="BG74" t="e">
        <f t="shared" si="140"/>
        <v>#VALUE!</v>
      </c>
      <c r="BH74" t="str">
        <f t="shared" si="141"/>
        <v>Local funcId 1690017901696 not found</v>
      </c>
      <c r="BJ74" t="s">
        <v>72</v>
      </c>
      <c r="BK74" s="10">
        <f>BK73*0.000000000001</f>
        <v>3.9819451061198076E-11</v>
      </c>
    </row>
    <row r="75" spans="1:63" x14ac:dyDescent="0.25">
      <c r="A75">
        <v>300</v>
      </c>
      <c r="B75">
        <f t="shared" si="142"/>
        <v>18000</v>
      </c>
      <c r="C75">
        <v>0.12809999999999999</v>
      </c>
      <c r="D75">
        <v>9.2899999999999996E-2</v>
      </c>
      <c r="F75">
        <v>300</v>
      </c>
      <c r="G75">
        <v>0.11700000000000001</v>
      </c>
      <c r="H75">
        <v>8.5599999999999996E-2</v>
      </c>
      <c r="J75">
        <v>300</v>
      </c>
      <c r="N75">
        <v>300</v>
      </c>
      <c r="O75">
        <f t="shared" si="143"/>
        <v>0.12254999999999999</v>
      </c>
      <c r="P75">
        <f t="shared" si="144"/>
        <v>8.9249999999999996E-2</v>
      </c>
      <c r="U75">
        <f t="shared" si="145"/>
        <v>2.358010851320743E-7</v>
      </c>
      <c r="V75">
        <f t="shared" si="146"/>
        <v>1.4673381288661172E-5</v>
      </c>
      <c r="W75">
        <f t="shared" si="147"/>
        <v>1.5740394182281421E-7</v>
      </c>
      <c r="X75">
        <f t="shared" si="148"/>
        <v>5.9639384882284893E-7</v>
      </c>
      <c r="Y75">
        <v>300</v>
      </c>
      <c r="Z75">
        <f t="shared" si="149"/>
        <v>3.9320502695488848E-7</v>
      </c>
      <c r="AA75">
        <f t="shared" si="150"/>
        <v>1.5269775137484021E-5</v>
      </c>
      <c r="AC75">
        <f t="shared" si="151"/>
        <v>7.8397143309260093E-8</v>
      </c>
      <c r="AD75">
        <f t="shared" si="152"/>
        <v>1.4076987439838323E-5</v>
      </c>
      <c r="AF75">
        <f t="shared" si="153"/>
        <v>0</v>
      </c>
      <c r="AG75">
        <f t="shared" si="154"/>
        <v>0</v>
      </c>
      <c r="AH75">
        <f t="shared" si="168"/>
        <v>1.4909182373793246E-5</v>
      </c>
      <c r="AI75">
        <f t="shared" si="155"/>
        <v>2.358010851320743E-7</v>
      </c>
      <c r="AJ75">
        <f t="shared" si="156"/>
        <v>1.4673381288661172E-5</v>
      </c>
      <c r="AK75">
        <f t="shared" si="169"/>
        <v>0.99998509081762621</v>
      </c>
      <c r="AL75">
        <f t="shared" si="157"/>
        <v>0.19660251347744423</v>
      </c>
      <c r="AM75">
        <f t="shared" si="158"/>
        <v>7.6348875687420099</v>
      </c>
      <c r="AN75">
        <f t="shared" si="159"/>
        <v>1.0154039535039985E-2</v>
      </c>
      <c r="AO75">
        <f t="shared" si="160"/>
        <v>0.16899569632878855</v>
      </c>
      <c r="AP75">
        <f t="shared" si="161"/>
        <v>3.9198571654630046E-2</v>
      </c>
      <c r="AQ75">
        <f t="shared" si="162"/>
        <v>7.0384937199191615</v>
      </c>
      <c r="AR75">
        <f t="shared" si="163"/>
        <v>2.0245104666165702E-3</v>
      </c>
      <c r="AS75">
        <f t="shared" si="164"/>
        <v>0.15579471689581567</v>
      </c>
      <c r="AX75">
        <f t="shared" si="165"/>
        <v>6.0892750008282774E-3</v>
      </c>
      <c r="AY75">
        <f t="shared" si="166"/>
        <v>0.16239520661230211</v>
      </c>
      <c r="BB75">
        <f t="shared" si="137"/>
        <v>1.6992165152311512E-7</v>
      </c>
      <c r="BC75">
        <f t="shared" si="138"/>
        <v>6.9342174966878394E-6</v>
      </c>
      <c r="BD75" t="str">
        <v>Local funcId 1690017899200 not found</v>
      </c>
      <c r="BE75" t="e">
        <f t="shared" si="139"/>
        <v>#VALUE!</v>
      </c>
      <c r="BF75" t="e">
        <f t="shared" si="167"/>
        <v>#VALUE!</v>
      </c>
      <c r="BG75" t="e">
        <f t="shared" si="140"/>
        <v>#VALUE!</v>
      </c>
      <c r="BH75" t="str">
        <f t="shared" si="141"/>
        <v>Local funcId 1690017901696 not found</v>
      </c>
      <c r="BJ75" t="s">
        <v>75</v>
      </c>
      <c r="BK75">
        <v>0.5</v>
      </c>
    </row>
    <row r="76" spans="1:63" x14ac:dyDescent="0.25">
      <c r="BF76" t="s">
        <v>79</v>
      </c>
      <c r="BG76" t="e">
        <f>SUM(BG64:BG75)</f>
        <v>#VALUE!</v>
      </c>
    </row>
    <row r="77" spans="1:63" x14ac:dyDescent="0.25">
      <c r="A77" s="14" t="s">
        <v>24</v>
      </c>
      <c r="B77" s="14"/>
      <c r="C77" s="14"/>
      <c r="D77" s="14"/>
      <c r="F77" s="14" t="s">
        <v>25</v>
      </c>
      <c r="G77" s="14"/>
      <c r="H77" s="14"/>
      <c r="J77" s="14" t="s">
        <v>26</v>
      </c>
      <c r="K77" s="14"/>
      <c r="L77" s="14"/>
      <c r="N77" s="15" t="s">
        <v>45</v>
      </c>
      <c r="O77" s="15"/>
      <c r="P77" s="15"/>
    </row>
    <row r="78" spans="1:63" ht="18" x14ac:dyDescent="0.35">
      <c r="A78" t="s">
        <v>0</v>
      </c>
      <c r="C78" t="s">
        <v>1</v>
      </c>
      <c r="D78" t="s">
        <v>2</v>
      </c>
      <c r="F78" t="s">
        <v>0</v>
      </c>
      <c r="G78" t="s">
        <v>1</v>
      </c>
      <c r="H78" t="s">
        <v>2</v>
      </c>
      <c r="J78" t="s">
        <v>0</v>
      </c>
      <c r="K78" t="s">
        <v>1</v>
      </c>
      <c r="L78" t="s">
        <v>2</v>
      </c>
      <c r="N78" t="s">
        <v>0</v>
      </c>
      <c r="O78" t="s">
        <v>1</v>
      </c>
      <c r="P78" t="s">
        <v>2</v>
      </c>
      <c r="Y78" t="s">
        <v>0</v>
      </c>
      <c r="Z78" s="5" t="s">
        <v>47</v>
      </c>
      <c r="AA78" s="5" t="s">
        <v>48</v>
      </c>
      <c r="AB78" s="3"/>
      <c r="AC78" s="5" t="s">
        <v>49</v>
      </c>
      <c r="AD78" s="5" t="s">
        <v>50</v>
      </c>
      <c r="AF78" s="5" t="s">
        <v>51</v>
      </c>
      <c r="AG78" s="5" t="s">
        <v>52</v>
      </c>
      <c r="AH78" s="5" t="s">
        <v>81</v>
      </c>
      <c r="AI78" s="5" t="s">
        <v>32</v>
      </c>
      <c r="AJ78" s="5" t="s">
        <v>33</v>
      </c>
      <c r="AK78" s="5" t="s">
        <v>107</v>
      </c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 t="s">
        <v>54</v>
      </c>
      <c r="BC78" s="5" t="s">
        <v>55</v>
      </c>
      <c r="BD78" s="5" t="s">
        <v>68</v>
      </c>
      <c r="BE78" s="5" t="s">
        <v>76</v>
      </c>
      <c r="BF78" s="5" t="s">
        <v>77</v>
      </c>
      <c r="BG78" s="5" t="s">
        <v>78</v>
      </c>
      <c r="BH78" s="5" t="s">
        <v>111</v>
      </c>
      <c r="BI78" s="5" t="s">
        <v>122</v>
      </c>
      <c r="BJ78" s="5" t="s">
        <v>85</v>
      </c>
      <c r="BK78" s="5" t="s">
        <v>124</v>
      </c>
    </row>
    <row r="79" spans="1:63" x14ac:dyDescent="0.25">
      <c r="A79">
        <v>5</v>
      </c>
      <c r="B79">
        <f>A79*60</f>
        <v>300</v>
      </c>
      <c r="C79">
        <v>2.2000000000000001E-3</v>
      </c>
      <c r="D79">
        <v>1.2999999999999999E-3</v>
      </c>
      <c r="F79">
        <v>5</v>
      </c>
      <c r="G79">
        <v>1.6999999999999999E-3</v>
      </c>
      <c r="H79">
        <v>8.9999999999999998E-4</v>
      </c>
      <c r="J79">
        <v>5</v>
      </c>
      <c r="N79">
        <v>5</v>
      </c>
      <c r="U79">
        <f>(Z79+AC79)/2</f>
        <v>1.2360194771741485E-7</v>
      </c>
      <c r="V79">
        <f>(AA79+AD79)/2</f>
        <v>1.7783100393864357E-7</v>
      </c>
      <c r="W79">
        <f>_xlfn.STDEV.P(Z79,AC79)</f>
        <v>6.2320309773486176E-9</v>
      </c>
      <c r="X79">
        <f>_xlfn.STDEV.P(AA79,AD79)</f>
        <v>3.3050537616538961E-8</v>
      </c>
      <c r="Y79">
        <v>5</v>
      </c>
      <c r="Z79">
        <f>((C79*$U$7)-(D79*$U$6))/(($U$7*$U$4)-($U$6*$U$5))</f>
        <v>1.1736991674006624E-7</v>
      </c>
      <c r="AA79">
        <f>((D79*$U$4)-(C79*$U$5))/(($U$7*$U$4)-($U$6*$U$5))</f>
        <v>2.1088154155518253E-7</v>
      </c>
      <c r="AC79">
        <f>((G79*$U$7)-(H79*$U$6))/(($U$7*$U$4)-($U$6*$U$5))</f>
        <v>1.2983397869476347E-7</v>
      </c>
      <c r="AD79">
        <f>((H79*$U$4)-(G79*$U$5))/(($U$7*$U$4)-($U$6*$U$5))</f>
        <v>1.4478046632210461E-7</v>
      </c>
      <c r="AH79">
        <f>AI79+AJ79</f>
        <v>3.2825145829524878E-7</v>
      </c>
      <c r="AI79">
        <f>Z79</f>
        <v>1.1736991674006624E-7</v>
      </c>
      <c r="AJ79">
        <f>AA79</f>
        <v>2.1088154155518253E-7</v>
      </c>
      <c r="AK79">
        <f t="shared" si="169"/>
        <v>0.99999967174854165</v>
      </c>
      <c r="AL79">
        <f>Z79*500000</f>
        <v>5.8684958370033118E-2</v>
      </c>
      <c r="AM79">
        <f>AA79*500000</f>
        <v>0.10544077077759126</v>
      </c>
      <c r="AN79">
        <f>AL79/$U$27</f>
        <v>1.2226032993756899E-2</v>
      </c>
      <c r="AO79">
        <f>AM79/$V$27</f>
        <v>9.4143545337135055E-3</v>
      </c>
      <c r="AP79">
        <f>AC79*500000</f>
        <v>6.4916989347381729E-2</v>
      </c>
      <c r="AQ79">
        <f>AD79*500000</f>
        <v>7.2390233161052309E-2</v>
      </c>
      <c r="AR79">
        <f>AP79/$U$27</f>
        <v>1.3524372780704527E-2</v>
      </c>
      <c r="AS79">
        <f>AQ79/$V$27</f>
        <v>6.4634136750939567E-3</v>
      </c>
      <c r="AX79">
        <f>(AN79+AR79)/2</f>
        <v>1.2875202887230713E-2</v>
      </c>
      <c r="AY79">
        <f>(AO79+AS79)/2</f>
        <v>7.9388841044037307E-3</v>
      </c>
      <c r="BD79" t="str">
        <f t="array" ref="BD79:BD82">Diffusion1D_xl(B79:B90,BK84,BK89,BK82,BK83)</f>
        <v>Local funcId 1690017899200 not found</v>
      </c>
      <c r="BE79" t="e">
        <f>BD79/(1-BD79)*$BK$86</f>
        <v>#VALUE!</v>
      </c>
      <c r="BF79" t="e">
        <f>BE79/$BK$90</f>
        <v>#VALUE!</v>
      </c>
      <c r="BG79" t="e">
        <f>(1-BF79/AH79)^2</f>
        <v>#VALUE!</v>
      </c>
      <c r="BH79" t="str">
        <f>ev_THFaktor($U$17,BD79)</f>
        <v>Local funcId 1690017901696 not found</v>
      </c>
      <c r="BI79" t="e">
        <f>AVERAGE(BH79:BH90)</f>
        <v>#DIV/0!</v>
      </c>
      <c r="BJ79" s="10">
        <f>BK89</f>
        <v>6.5073271974665076E-11</v>
      </c>
      <c r="BK79" s="10" t="e">
        <f>BJ79/BI79</f>
        <v>#DIV/0!</v>
      </c>
    </row>
    <row r="80" spans="1:63" x14ac:dyDescent="0.25">
      <c r="A80">
        <v>15</v>
      </c>
      <c r="B80">
        <f t="shared" ref="B80:B82" si="170">A80*60</f>
        <v>900</v>
      </c>
      <c r="C80">
        <v>8.0000000000000002E-3</v>
      </c>
      <c r="D80">
        <v>5.7999999999999996E-3</v>
      </c>
      <c r="F80">
        <v>15</v>
      </c>
      <c r="G80">
        <v>6.0000000000000001E-3</v>
      </c>
      <c r="H80">
        <v>4.5999999999999999E-3</v>
      </c>
      <c r="J80">
        <v>15</v>
      </c>
      <c r="N80">
        <v>15</v>
      </c>
      <c r="U80">
        <f t="shared" ref="U80:U90" si="171">(Z80+AC80)/2</f>
        <v>-2.4747485330340754E-8</v>
      </c>
      <c r="V80">
        <f t="shared" ref="V80:V90" si="172">(AA80+AD80)/2</f>
        <v>8.5588184502799532E-7</v>
      </c>
      <c r="W80">
        <f t="shared" ref="W80:W90" si="173">_xlfn.STDEV.P(Z80,AC80)</f>
        <v>4.994656710831602E-8</v>
      </c>
      <c r="X80">
        <f t="shared" ref="X80:X90" si="174">_xlfn.STDEV.P(AA80,AD80)</f>
        <v>9.7435546348607785E-8</v>
      </c>
      <c r="Y80">
        <v>15</v>
      </c>
      <c r="Z80">
        <f t="shared" ref="Z80:Z90" si="175">((C80*$U$7)-(D80*$U$6))/(($U$7*$U$4)-($U$6*$U$5))</f>
        <v>2.5199081777975266E-8</v>
      </c>
      <c r="AA80">
        <f t="shared" ref="AA80:AA90" si="176">((D80*$U$4)-(C80*$U$5))/(($U$7*$U$4)-($U$6*$U$5))</f>
        <v>9.5331739137660316E-7</v>
      </c>
      <c r="AC80">
        <f t="shared" ref="AC80:AC90" si="177">((G80*$U$7)-(H80*$U$6))/(($U$7*$U$4)-($U$6*$U$5))</f>
        <v>-7.4694052438656774E-8</v>
      </c>
      <c r="AD80">
        <f t="shared" ref="AD80:AD90" si="178">((H80*$U$4)-(G80*$U$5))/(($U$7*$U$4)-($U$6*$U$5))</f>
        <v>7.5844629867938759E-7</v>
      </c>
      <c r="AH80">
        <f t="shared" ref="AH80:AH90" si="179">AI80+AJ80</f>
        <v>9.785164731545784E-7</v>
      </c>
      <c r="AI80">
        <f t="shared" ref="AI80:AJ90" si="180">Z80</f>
        <v>2.5199081777975266E-8</v>
      </c>
      <c r="AJ80">
        <f t="shared" si="180"/>
        <v>9.5331739137660316E-7</v>
      </c>
      <c r="AK80">
        <f t="shared" si="169"/>
        <v>0.99999902148352682</v>
      </c>
      <c r="AL80">
        <f t="shared" ref="AL80:AL90" si="181">Z80*500000</f>
        <v>1.2599540888987633E-2</v>
      </c>
      <c r="AM80">
        <f t="shared" ref="AM80:AM90" si="182">AA80*500000</f>
        <v>0.4766586956883016</v>
      </c>
      <c r="AN80">
        <f t="shared" ref="AN80:AN90" si="183">AL80/$U$27</f>
        <v>2.6249043518724235E-3</v>
      </c>
      <c r="AO80">
        <f t="shared" ref="AO80:AO90" si="184">AM80/$V$27</f>
        <v>4.2558812115026934E-2</v>
      </c>
      <c r="AP80">
        <f t="shared" ref="AP80:AP90" si="185">AC80*500000</f>
        <v>-3.7347026219328387E-2</v>
      </c>
      <c r="AQ80">
        <f t="shared" ref="AQ80:AQ90" si="186">AD80*500000</f>
        <v>0.37922314933969381</v>
      </c>
      <c r="AR80">
        <f t="shared" ref="AR80:AR90" si="187">AP80/$U$27</f>
        <v>-7.780630462360081E-3</v>
      </c>
      <c r="AS80">
        <f t="shared" ref="AS80:AS90" si="188">AQ80/$V$27</f>
        <v>3.3859209762472663E-2</v>
      </c>
      <c r="AX80">
        <f t="shared" ref="AX80:AX90" si="189">(AN80+AR80)/2</f>
        <v>-2.5778630552438287E-3</v>
      </c>
      <c r="AY80">
        <f t="shared" ref="AY80:AY90" si="190">(AO80+AS80)/2</f>
        <v>3.8209010938749802E-2</v>
      </c>
      <c r="BD80" t="str">
        <v>Local funcId 1690017899200 not found</v>
      </c>
      <c r="BE80" t="e">
        <f t="shared" ref="BE80:BE82" si="191">BD80/(1-BD80)*$BK$86</f>
        <v>#VALUE!</v>
      </c>
      <c r="BF80" t="e">
        <f>BE80/$BK$15</f>
        <v>#VALUE!</v>
      </c>
      <c r="BG80" t="e">
        <f>(1-BF80/AH80)^2</f>
        <v>#VALUE!</v>
      </c>
      <c r="BH80" t="str">
        <f>ev_THFaktor($U$17,BD80)</f>
        <v>Local funcId 1690017901696 not found</v>
      </c>
    </row>
    <row r="81" spans="1:63" x14ac:dyDescent="0.25">
      <c r="A81">
        <v>30</v>
      </c>
      <c r="B81">
        <f t="shared" si="170"/>
        <v>1800</v>
      </c>
      <c r="C81">
        <v>0.01</v>
      </c>
      <c r="D81">
        <v>6.8999999999999999E-3</v>
      </c>
      <c r="F81">
        <v>30</v>
      </c>
      <c r="G81">
        <v>8.0999999999999996E-3</v>
      </c>
      <c r="H81">
        <v>5.4000000000000003E-3</v>
      </c>
      <c r="J81">
        <v>30</v>
      </c>
      <c r="N81">
        <v>30</v>
      </c>
      <c r="U81">
        <f t="shared" si="171"/>
        <v>1.8246754466650135E-7</v>
      </c>
      <c r="V81">
        <f t="shared" si="172"/>
        <v>1.0069514692780744E-6</v>
      </c>
      <c r="W81">
        <f t="shared" si="173"/>
        <v>1.9937983163039066E-8</v>
      </c>
      <c r="X81">
        <f t="shared" si="174"/>
        <v>1.2385371273697066E-7</v>
      </c>
      <c r="Y81">
        <v>30</v>
      </c>
      <c r="Z81">
        <f t="shared" si="175"/>
        <v>1.6252956150346228E-7</v>
      </c>
      <c r="AA81">
        <f t="shared" si="176"/>
        <v>1.130805182015045E-6</v>
      </c>
      <c r="AC81">
        <f t="shared" si="177"/>
        <v>2.0240552782954042E-7</v>
      </c>
      <c r="AD81">
        <f t="shared" si="178"/>
        <v>8.8309775654110368E-7</v>
      </c>
      <c r="AH81">
        <f t="shared" si="179"/>
        <v>1.2933347435185073E-6</v>
      </c>
      <c r="AI81">
        <f t="shared" si="180"/>
        <v>1.6252956150346228E-7</v>
      </c>
      <c r="AJ81">
        <f t="shared" si="180"/>
        <v>1.130805182015045E-6</v>
      </c>
      <c r="AK81">
        <f t="shared" si="169"/>
        <v>0.99999870666525648</v>
      </c>
      <c r="AL81">
        <f t="shared" si="181"/>
        <v>8.1264780751731144E-2</v>
      </c>
      <c r="AM81">
        <f t="shared" si="182"/>
        <v>0.56540259100752255</v>
      </c>
      <c r="AN81">
        <f t="shared" si="183"/>
        <v>1.6930162656610657E-2</v>
      </c>
      <c r="AO81">
        <f t="shared" si="184"/>
        <v>5.0482374197100228E-2</v>
      </c>
      <c r="AP81">
        <f t="shared" si="185"/>
        <v>0.10120276391477021</v>
      </c>
      <c r="AQ81">
        <f t="shared" si="186"/>
        <v>0.44154887827055184</v>
      </c>
      <c r="AR81">
        <f t="shared" si="187"/>
        <v>2.1083909148910462E-2</v>
      </c>
      <c r="AS81">
        <f t="shared" si="188"/>
        <v>3.9424006988442131E-2</v>
      </c>
      <c r="AX81">
        <f t="shared" si="189"/>
        <v>1.9007035902760559E-2</v>
      </c>
      <c r="AY81">
        <f t="shared" si="190"/>
        <v>4.4953190592771183E-2</v>
      </c>
      <c r="BD81" t="str">
        <v>Local funcId 1690017899200 not found</v>
      </c>
      <c r="BE81" t="e">
        <f t="shared" si="191"/>
        <v>#VALUE!</v>
      </c>
      <c r="BF81" t="e">
        <f>BE81/$BK$15</f>
        <v>#VALUE!</v>
      </c>
      <c r="BG81" t="e">
        <f>(1-BF81/AH81)^2</f>
        <v>#VALUE!</v>
      </c>
      <c r="BH81" t="str">
        <f>ev_THFaktor($U$17,BD81)</f>
        <v>Local funcId 1690017901696 not found</v>
      </c>
      <c r="BJ81" s="6" t="s">
        <v>69</v>
      </c>
      <c r="BK81" s="6"/>
    </row>
    <row r="82" spans="1:63" x14ac:dyDescent="0.25">
      <c r="A82">
        <v>60</v>
      </c>
      <c r="B82">
        <f t="shared" si="170"/>
        <v>3600</v>
      </c>
      <c r="C82">
        <v>1.8800000000000001E-2</v>
      </c>
      <c r="D82">
        <v>1.4E-2</v>
      </c>
      <c r="F82">
        <v>60</v>
      </c>
      <c r="G82">
        <v>1.4200000000000001E-2</v>
      </c>
      <c r="H82">
        <v>1.0200000000000001E-2</v>
      </c>
      <c r="J82">
        <v>60</v>
      </c>
      <c r="N82">
        <v>60</v>
      </c>
      <c r="U82">
        <f t="shared" si="171"/>
        <v>4.9675609239716239E-10</v>
      </c>
      <c r="V82">
        <f t="shared" si="172"/>
        <v>1.9901191600450586E-6</v>
      </c>
      <c r="W82">
        <f t="shared" si="173"/>
        <v>7.9797092296920517E-8</v>
      </c>
      <c r="X82">
        <f t="shared" si="174"/>
        <v>3.1449492730742323E-7</v>
      </c>
      <c r="Y82">
        <v>60</v>
      </c>
      <c r="Z82">
        <f t="shared" si="175"/>
        <v>-7.9300336204523348E-8</v>
      </c>
      <c r="AA82">
        <f t="shared" si="176"/>
        <v>2.3046140873524821E-6</v>
      </c>
      <c r="AC82">
        <f t="shared" si="177"/>
        <v>8.0293848389317673E-8</v>
      </c>
      <c r="AD82">
        <f t="shared" si="178"/>
        <v>1.6756242327376356E-6</v>
      </c>
      <c r="AH82">
        <f t="shared" si="179"/>
        <v>2.2253137511479586E-6</v>
      </c>
      <c r="AI82">
        <f t="shared" si="180"/>
        <v>-7.9300336204523348E-8</v>
      </c>
      <c r="AJ82">
        <f t="shared" si="180"/>
        <v>2.3046140873524821E-6</v>
      </c>
      <c r="AK82">
        <f t="shared" si="169"/>
        <v>0.99999777468624895</v>
      </c>
      <c r="AL82">
        <f t="shared" si="181"/>
        <v>-3.9650168102261671E-2</v>
      </c>
      <c r="AM82">
        <f t="shared" si="182"/>
        <v>1.152307043676241</v>
      </c>
      <c r="AN82">
        <f t="shared" si="183"/>
        <v>-8.260451687971182E-3</v>
      </c>
      <c r="AO82">
        <f t="shared" si="184"/>
        <v>0.10288455747109296</v>
      </c>
      <c r="AP82">
        <f t="shared" si="185"/>
        <v>4.0146924194658838E-2</v>
      </c>
      <c r="AQ82">
        <f t="shared" si="186"/>
        <v>0.83781211636881781</v>
      </c>
      <c r="AR82">
        <f t="shared" si="187"/>
        <v>8.3639425405539255E-3</v>
      </c>
      <c r="AS82">
        <f t="shared" si="188"/>
        <v>7.4804653247215885E-2</v>
      </c>
      <c r="AX82">
        <f t="shared" si="189"/>
        <v>5.1745426291371736E-5</v>
      </c>
      <c r="AY82">
        <f t="shared" si="190"/>
        <v>8.8844605359154422E-2</v>
      </c>
      <c r="BD82" t="str">
        <v>Local funcId 1690017899200 not found</v>
      </c>
      <c r="BE82" t="e">
        <f t="shared" si="191"/>
        <v>#VALUE!</v>
      </c>
      <c r="BF82" t="e">
        <f>BE82/$BK$15</f>
        <v>#VALUE!</v>
      </c>
      <c r="BG82" t="e">
        <f>(1-BF82/AH82)^2</f>
        <v>#VALUE!</v>
      </c>
      <c r="BH82" t="str">
        <f>ev_THFaktor($U$17,BD82)</f>
        <v>Local funcId 1690017901696 not found</v>
      </c>
      <c r="BJ82" t="s">
        <v>70</v>
      </c>
      <c r="BK82" s="7">
        <v>1E-4</v>
      </c>
    </row>
    <row r="83" spans="1:63" x14ac:dyDescent="0.25">
      <c r="A83">
        <v>90</v>
      </c>
      <c r="B83">
        <f t="shared" ref="B83:B90" si="192">A83*60</f>
        <v>5400</v>
      </c>
      <c r="C83">
        <v>3.7100000000000001E-2</v>
      </c>
      <c r="D83">
        <v>2.7300000000000001E-2</v>
      </c>
      <c r="F83">
        <v>90</v>
      </c>
      <c r="G83">
        <v>3.1800000000000002E-2</v>
      </c>
      <c r="H83">
        <v>2.41E-2</v>
      </c>
      <c r="J83">
        <v>90</v>
      </c>
      <c r="N83">
        <v>90</v>
      </c>
      <c r="U83">
        <f t="shared" si="171"/>
        <v>-1.6243924221393444E-7</v>
      </c>
      <c r="V83">
        <f t="shared" si="172"/>
        <v>4.2310346652658748E-6</v>
      </c>
      <c r="W83">
        <f t="shared" si="173"/>
        <v>1.2861466828615105E-7</v>
      </c>
      <c r="X83">
        <f t="shared" si="174"/>
        <v>2.5994252802968845E-7</v>
      </c>
      <c r="Y83">
        <v>90</v>
      </c>
      <c r="Z83">
        <f t="shared" si="175"/>
        <v>-3.3824573927783371E-8</v>
      </c>
      <c r="AA83">
        <f t="shared" si="176"/>
        <v>4.4909771932955633E-6</v>
      </c>
      <c r="AC83">
        <f t="shared" si="177"/>
        <v>-2.910539105000855E-7</v>
      </c>
      <c r="AD83">
        <f t="shared" si="178"/>
        <v>3.9710921372361864E-6</v>
      </c>
      <c r="AH83">
        <f t="shared" si="179"/>
        <v>4.4571526193677796E-6</v>
      </c>
      <c r="AI83">
        <f t="shared" si="180"/>
        <v>-3.3824573927783371E-8</v>
      </c>
      <c r="AJ83">
        <f t="shared" si="180"/>
        <v>4.4909771932955633E-6</v>
      </c>
      <c r="AK83">
        <f t="shared" si="169"/>
        <v>0.99999554284738068</v>
      </c>
      <c r="AL83">
        <f t="shared" si="181"/>
        <v>-1.6912286963891684E-2</v>
      </c>
      <c r="AM83">
        <f t="shared" si="182"/>
        <v>2.2454885966477818</v>
      </c>
      <c r="AN83">
        <f t="shared" si="183"/>
        <v>-3.5233931174774341E-3</v>
      </c>
      <c r="AO83">
        <f t="shared" si="184"/>
        <v>0.20049005327212338</v>
      </c>
      <c r="AP83">
        <f t="shared" si="185"/>
        <v>-0.14552695525004275</v>
      </c>
      <c r="AQ83">
        <f t="shared" si="186"/>
        <v>1.9855460686180932</v>
      </c>
      <c r="AR83">
        <f t="shared" si="187"/>
        <v>-3.031811567709224E-2</v>
      </c>
      <c r="AS83">
        <f t="shared" si="188"/>
        <v>0.17728089898375834</v>
      </c>
      <c r="AX83">
        <f t="shared" si="189"/>
        <v>-1.6920754397284837E-2</v>
      </c>
      <c r="AY83">
        <f t="shared" si="190"/>
        <v>0.18888547612794088</v>
      </c>
      <c r="BF83" t="s">
        <v>79</v>
      </c>
      <c r="BG83" t="e">
        <f>SUM(BG79:BG82)</f>
        <v>#VALUE!</v>
      </c>
      <c r="BJ83" t="s">
        <v>125</v>
      </c>
      <c r="BK83">
        <f>1-BK86/($BK$90+BK86)</f>
        <v>0.99996773060161004</v>
      </c>
    </row>
    <row r="84" spans="1:63" x14ac:dyDescent="0.25">
      <c r="A84">
        <v>120</v>
      </c>
      <c r="B84">
        <f t="shared" si="192"/>
        <v>7200</v>
      </c>
      <c r="C84">
        <v>4.41E-2</v>
      </c>
      <c r="D84">
        <v>3.2300000000000002E-2</v>
      </c>
      <c r="F84">
        <v>120</v>
      </c>
      <c r="G84">
        <v>3.9199999999999999E-2</v>
      </c>
      <c r="H84">
        <v>2.92E-2</v>
      </c>
      <c r="J84">
        <v>120</v>
      </c>
      <c r="N84">
        <v>120</v>
      </c>
      <c r="U84">
        <f t="shared" si="171"/>
        <v>-7.6116581248704763E-8</v>
      </c>
      <c r="V84">
        <f t="shared" si="172"/>
        <v>5.0594687040049022E-6</v>
      </c>
      <c r="W84">
        <f t="shared" si="173"/>
        <v>9.2419213008290262E-8</v>
      </c>
      <c r="X84">
        <f t="shared" si="174"/>
        <v>2.5262373020110915E-7</v>
      </c>
      <c r="Y84">
        <v>120</v>
      </c>
      <c r="Z84">
        <f t="shared" si="175"/>
        <v>1.6302631759585496E-8</v>
      </c>
      <c r="AA84">
        <f t="shared" si="176"/>
        <v>5.3120924342060118E-6</v>
      </c>
      <c r="AC84">
        <f t="shared" si="177"/>
        <v>-1.6853579425699503E-7</v>
      </c>
      <c r="AD84">
        <f t="shared" si="178"/>
        <v>4.8068449738037935E-6</v>
      </c>
      <c r="AH84">
        <f t="shared" si="179"/>
        <v>5.3283950659655971E-6</v>
      </c>
      <c r="AI84">
        <f t="shared" si="180"/>
        <v>1.6302631759585496E-8</v>
      </c>
      <c r="AJ84">
        <f t="shared" si="180"/>
        <v>5.3120924342060118E-6</v>
      </c>
      <c r="AK84">
        <f t="shared" si="169"/>
        <v>0.99999467160493405</v>
      </c>
      <c r="AL84">
        <f t="shared" si="181"/>
        <v>8.1513158797927483E-3</v>
      </c>
      <c r="AM84">
        <f t="shared" si="182"/>
        <v>2.6560462171030057</v>
      </c>
      <c r="AN84">
        <f t="shared" si="183"/>
        <v>1.698190808290156E-3</v>
      </c>
      <c r="AO84">
        <f t="shared" si="184"/>
        <v>0.23714698366991124</v>
      </c>
      <c r="AP84">
        <f t="shared" si="185"/>
        <v>-8.4267897128497513E-2</v>
      </c>
      <c r="AQ84">
        <f t="shared" si="186"/>
        <v>2.4034224869018965</v>
      </c>
      <c r="AR84">
        <f t="shared" si="187"/>
        <v>-1.7555811901770316E-2</v>
      </c>
      <c r="AS84">
        <f t="shared" si="188"/>
        <v>0.21459129347338363</v>
      </c>
      <c r="AX84">
        <f t="shared" si="189"/>
        <v>-7.92881054674008E-3</v>
      </c>
      <c r="AY84">
        <f t="shared" si="190"/>
        <v>0.22586913857164742</v>
      </c>
      <c r="BJ84" t="s">
        <v>73</v>
      </c>
      <c r="BK84">
        <v>2.5000000000000001E-4</v>
      </c>
    </row>
    <row r="85" spans="1:63" x14ac:dyDescent="0.25">
      <c r="A85">
        <v>150</v>
      </c>
      <c r="B85">
        <f t="shared" si="192"/>
        <v>9000</v>
      </c>
      <c r="C85">
        <v>5.4100000000000002E-2</v>
      </c>
      <c r="D85">
        <v>3.95E-2</v>
      </c>
      <c r="F85">
        <v>150</v>
      </c>
      <c r="G85">
        <v>4.8000000000000001E-2</v>
      </c>
      <c r="H85">
        <v>3.3300000000000003E-2</v>
      </c>
      <c r="J85">
        <v>150</v>
      </c>
      <c r="N85">
        <v>150</v>
      </c>
      <c r="U85">
        <f t="shared" si="171"/>
        <v>3.8963741501858113E-7</v>
      </c>
      <c r="V85">
        <f t="shared" si="172"/>
        <v>5.9771011698876942E-6</v>
      </c>
      <c r="W85">
        <f t="shared" si="173"/>
        <v>3.2311725828209829E-7</v>
      </c>
      <c r="X85">
        <f t="shared" si="174"/>
        <v>5.1794635250968403E-7</v>
      </c>
      <c r="Y85">
        <v>150</v>
      </c>
      <c r="Z85">
        <f t="shared" si="175"/>
        <v>6.6520156736482865E-8</v>
      </c>
      <c r="AA85">
        <f t="shared" si="176"/>
        <v>6.4950475223973786E-6</v>
      </c>
      <c r="AC85">
        <f t="shared" si="177"/>
        <v>7.1275467330067942E-7</v>
      </c>
      <c r="AD85">
        <f t="shared" si="178"/>
        <v>5.4591548173780105E-6</v>
      </c>
      <c r="AH85">
        <f t="shared" si="179"/>
        <v>6.5615676791338619E-6</v>
      </c>
      <c r="AI85">
        <f t="shared" si="180"/>
        <v>6.6520156736482865E-8</v>
      </c>
      <c r="AJ85">
        <f t="shared" si="180"/>
        <v>6.4950475223973786E-6</v>
      </c>
      <c r="AK85">
        <f t="shared" si="169"/>
        <v>0.99999343843232091</v>
      </c>
      <c r="AL85">
        <f t="shared" si="181"/>
        <v>3.3260078368241436E-2</v>
      </c>
      <c r="AM85">
        <f t="shared" si="182"/>
        <v>3.2475237611986891</v>
      </c>
      <c r="AN85">
        <f t="shared" si="183"/>
        <v>6.929182993383633E-3</v>
      </c>
      <c r="AO85">
        <f t="shared" si="184"/>
        <v>0.28995747867845439</v>
      </c>
      <c r="AP85">
        <f t="shared" si="185"/>
        <v>0.35637733665033972</v>
      </c>
      <c r="AQ85">
        <f t="shared" si="186"/>
        <v>2.7295774086890052</v>
      </c>
      <c r="AR85">
        <f t="shared" si="187"/>
        <v>7.4245278468820772E-2</v>
      </c>
      <c r="AS85">
        <f t="shared" si="188"/>
        <v>0.2437122686329469</v>
      </c>
      <c r="AX85">
        <f t="shared" si="189"/>
        <v>4.0587230731102202E-2</v>
      </c>
      <c r="AY85">
        <f t="shared" si="190"/>
        <v>0.26683487365570063</v>
      </c>
      <c r="BJ85" t="s">
        <v>74</v>
      </c>
      <c r="BK85">
        <f>PI()/4*0.008^2</f>
        <v>5.0265482457436686E-5</v>
      </c>
    </row>
    <row r="86" spans="1:63" x14ac:dyDescent="0.25">
      <c r="A86">
        <v>180</v>
      </c>
      <c r="B86">
        <f t="shared" si="192"/>
        <v>10800</v>
      </c>
      <c r="C86">
        <v>6.25E-2</v>
      </c>
      <c r="D86">
        <v>4.58E-2</v>
      </c>
      <c r="F86">
        <v>180</v>
      </c>
      <c r="G86">
        <v>5.4100000000000002E-2</v>
      </c>
      <c r="H86">
        <v>4.02E-2</v>
      </c>
      <c r="J86">
        <v>180</v>
      </c>
      <c r="N86">
        <v>180</v>
      </c>
      <c r="U86">
        <f t="shared" si="171"/>
        <v>-9.059024739537235E-8</v>
      </c>
      <c r="V86">
        <f t="shared" si="172"/>
        <v>7.074633177237516E-6</v>
      </c>
      <c r="W86">
        <f t="shared" si="173"/>
        <v>1.0495101443013153E-7</v>
      </c>
      <c r="X86">
        <f t="shared" si="174"/>
        <v>4.5790254042872043E-7</v>
      </c>
      <c r="Y86">
        <v>180</v>
      </c>
      <c r="Z86">
        <f t="shared" si="175"/>
        <v>1.436076703475918E-8</v>
      </c>
      <c r="AA86">
        <f t="shared" si="176"/>
        <v>7.5325357176662365E-6</v>
      </c>
      <c r="AC86">
        <f t="shared" si="177"/>
        <v>-1.9554126182550387E-7</v>
      </c>
      <c r="AD86">
        <f t="shared" si="178"/>
        <v>6.6167306368087956E-6</v>
      </c>
      <c r="AH86">
        <f t="shared" si="179"/>
        <v>7.5468964847009961E-6</v>
      </c>
      <c r="AI86">
        <f t="shared" si="180"/>
        <v>1.436076703475918E-8</v>
      </c>
      <c r="AJ86">
        <f t="shared" si="180"/>
        <v>7.5325357176662365E-6</v>
      </c>
      <c r="AK86">
        <f t="shared" si="169"/>
        <v>0.99999245310351537</v>
      </c>
      <c r="AL86">
        <f t="shared" si="181"/>
        <v>7.1803835173795899E-3</v>
      </c>
      <c r="AM86">
        <f t="shared" si="182"/>
        <v>3.7662678588331184</v>
      </c>
      <c r="AN86">
        <f t="shared" si="183"/>
        <v>1.4959132327874145E-3</v>
      </c>
      <c r="AO86">
        <f t="shared" si="184"/>
        <v>0.33627391596724276</v>
      </c>
      <c r="AP86">
        <f t="shared" si="185"/>
        <v>-9.7770630912751941E-2</v>
      </c>
      <c r="AQ86">
        <f t="shared" si="186"/>
        <v>3.3083653184043977</v>
      </c>
      <c r="AR86">
        <f t="shared" si="187"/>
        <v>-2.0368881440156656E-2</v>
      </c>
      <c r="AS86">
        <f t="shared" si="188"/>
        <v>0.29538976057182126</v>
      </c>
      <c r="AX86">
        <f t="shared" si="189"/>
        <v>-9.4364841036846201E-3</v>
      </c>
      <c r="AY86">
        <f t="shared" si="190"/>
        <v>0.31583183826953198</v>
      </c>
      <c r="BJ86" t="s">
        <v>126</v>
      </c>
      <c r="BK86">
        <f>BK84*BK85*BK87</f>
        <v>1.6135219868837177E-5</v>
      </c>
    </row>
    <row r="87" spans="1:63" x14ac:dyDescent="0.25">
      <c r="A87">
        <v>210</v>
      </c>
      <c r="B87">
        <f t="shared" si="192"/>
        <v>12600</v>
      </c>
      <c r="C87">
        <v>7.2999999999999995E-2</v>
      </c>
      <c r="D87">
        <v>5.33E-2</v>
      </c>
      <c r="F87">
        <v>210</v>
      </c>
      <c r="G87">
        <v>6.3E-2</v>
      </c>
      <c r="H87">
        <v>4.7800000000000002E-2</v>
      </c>
      <c r="J87">
        <v>210</v>
      </c>
      <c r="N87">
        <v>210</v>
      </c>
      <c r="U87">
        <f t="shared" si="171"/>
        <v>-2.5377462374790443E-7</v>
      </c>
      <c r="V87">
        <f t="shared" si="172"/>
        <v>8.3204891024358034E-6</v>
      </c>
      <c r="W87">
        <f t="shared" si="173"/>
        <v>3.4332619931371625E-7</v>
      </c>
      <c r="X87">
        <f t="shared" si="174"/>
        <v>4.4371947659610411E-7</v>
      </c>
      <c r="Y87">
        <v>210</v>
      </c>
      <c r="Z87">
        <f t="shared" si="175"/>
        <v>8.9551575565811842E-8</v>
      </c>
      <c r="AA87">
        <f t="shared" si="176"/>
        <v>8.7642085790319075E-6</v>
      </c>
      <c r="AC87">
        <f t="shared" si="177"/>
        <v>-5.9710082306162068E-7</v>
      </c>
      <c r="AD87">
        <f t="shared" si="178"/>
        <v>7.8767696258396993E-6</v>
      </c>
      <c r="AH87">
        <f t="shared" si="179"/>
        <v>8.8537601545977197E-6</v>
      </c>
      <c r="AI87">
        <f t="shared" si="180"/>
        <v>8.9551575565811842E-8</v>
      </c>
      <c r="AJ87">
        <f t="shared" si="180"/>
        <v>8.7642085790319075E-6</v>
      </c>
      <c r="AK87">
        <f t="shared" si="169"/>
        <v>0.99999114623984542</v>
      </c>
      <c r="AL87">
        <f t="shared" si="181"/>
        <v>4.4775787782905918E-2</v>
      </c>
      <c r="AM87">
        <f t="shared" si="182"/>
        <v>4.3821042895159534</v>
      </c>
      <c r="AN87">
        <f t="shared" si="183"/>
        <v>9.3282891214387341E-3</v>
      </c>
      <c r="AO87">
        <f t="shared" si="184"/>
        <v>0.39125931156392446</v>
      </c>
      <c r="AP87">
        <f t="shared" si="185"/>
        <v>-0.29855041153081036</v>
      </c>
      <c r="AQ87">
        <f t="shared" si="186"/>
        <v>3.9383848129198498</v>
      </c>
      <c r="AR87">
        <f t="shared" si="187"/>
        <v>-6.2198002402252157E-2</v>
      </c>
      <c r="AS87">
        <f t="shared" si="188"/>
        <v>0.35164150115355802</v>
      </c>
      <c r="AX87">
        <f t="shared" si="189"/>
        <v>-2.6434856640406713E-2</v>
      </c>
      <c r="AY87">
        <f t="shared" si="190"/>
        <v>0.37145040635874127</v>
      </c>
      <c r="BJ87" t="s">
        <v>84</v>
      </c>
      <c r="BK87">
        <v>1284</v>
      </c>
    </row>
    <row r="88" spans="1:63" x14ac:dyDescent="0.25">
      <c r="A88">
        <v>240</v>
      </c>
      <c r="B88">
        <f t="shared" si="192"/>
        <v>14400</v>
      </c>
      <c r="C88">
        <v>8.6099999999999996E-2</v>
      </c>
      <c r="D88">
        <v>6.13E-2</v>
      </c>
      <c r="F88">
        <v>240</v>
      </c>
      <c r="G88">
        <v>7.4200000000000002E-2</v>
      </c>
      <c r="H88">
        <v>5.5E-2</v>
      </c>
      <c r="J88">
        <v>240</v>
      </c>
      <c r="N88">
        <v>240</v>
      </c>
      <c r="U88">
        <f t="shared" si="171"/>
        <v>2.3702039554068283E-7</v>
      </c>
      <c r="V88">
        <f t="shared" si="172"/>
        <v>9.5582192269535892E-6</v>
      </c>
      <c r="W88">
        <f t="shared" si="173"/>
        <v>4.5441892543166946E-7</v>
      </c>
      <c r="X88">
        <f t="shared" si="174"/>
        <v>5.0673163212736679E-7</v>
      </c>
      <c r="Y88">
        <v>240</v>
      </c>
      <c r="Z88">
        <f t="shared" si="175"/>
        <v>6.9143932097235229E-7</v>
      </c>
      <c r="AA88">
        <f t="shared" si="176"/>
        <v>1.0064950859080955E-5</v>
      </c>
      <c r="AC88">
        <f t="shared" si="177"/>
        <v>-2.1739852989098664E-7</v>
      </c>
      <c r="AD88">
        <f t="shared" si="178"/>
        <v>9.0514875948262215E-6</v>
      </c>
      <c r="AH88">
        <f t="shared" si="179"/>
        <v>1.0756390180053308E-5</v>
      </c>
      <c r="AI88">
        <f t="shared" si="180"/>
        <v>6.9143932097235229E-7</v>
      </c>
      <c r="AJ88">
        <f t="shared" si="180"/>
        <v>1.0064950859080955E-5</v>
      </c>
      <c r="AK88">
        <f t="shared" si="169"/>
        <v>0.99998924360981989</v>
      </c>
      <c r="AL88">
        <f t="shared" si="181"/>
        <v>0.34571966048617614</v>
      </c>
      <c r="AM88">
        <f t="shared" si="182"/>
        <v>5.0324754295404777</v>
      </c>
      <c r="AN88">
        <f t="shared" si="183"/>
        <v>7.2024929267953369E-2</v>
      </c>
      <c r="AO88">
        <f t="shared" si="184"/>
        <v>0.4493281633518284</v>
      </c>
      <c r="AP88">
        <f t="shared" si="185"/>
        <v>-0.10869926494549331</v>
      </c>
      <c r="AQ88">
        <f t="shared" si="186"/>
        <v>4.5257437974131109</v>
      </c>
      <c r="AR88">
        <f t="shared" si="187"/>
        <v>-2.2645680196977776E-2</v>
      </c>
      <c r="AS88">
        <f t="shared" si="188"/>
        <v>0.40408426762617067</v>
      </c>
      <c r="AX88">
        <f t="shared" si="189"/>
        <v>2.4689624535487797E-2</v>
      </c>
      <c r="AY88">
        <f t="shared" si="190"/>
        <v>0.42670621548899956</v>
      </c>
      <c r="BJ88" t="s">
        <v>123</v>
      </c>
      <c r="BK88">
        <v>65.073271974665076</v>
      </c>
    </row>
    <row r="89" spans="1:63" x14ac:dyDescent="0.25">
      <c r="A89">
        <v>270</v>
      </c>
      <c r="B89">
        <f t="shared" si="192"/>
        <v>16200</v>
      </c>
      <c r="C89">
        <v>8.9099999999999999E-2</v>
      </c>
      <c r="D89">
        <v>6.7400000000000002E-2</v>
      </c>
      <c r="F89">
        <v>270</v>
      </c>
      <c r="G89">
        <v>8.0199999999999994E-2</v>
      </c>
      <c r="H89">
        <v>6.2100000000000002E-2</v>
      </c>
      <c r="J89">
        <v>270</v>
      </c>
      <c r="N89">
        <v>270</v>
      </c>
      <c r="U89">
        <f t="shared" si="171"/>
        <v>-9.9827652731725017E-7</v>
      </c>
      <c r="V89">
        <f t="shared" si="172"/>
        <v>1.067462796581451E-5</v>
      </c>
      <c r="W89">
        <f t="shared" si="173"/>
        <v>2.2974969273377601E-7</v>
      </c>
      <c r="X89">
        <f t="shared" si="174"/>
        <v>4.3011152083955003E-7</v>
      </c>
      <c r="Y89">
        <v>270</v>
      </c>
      <c r="Z89">
        <f t="shared" si="175"/>
        <v>-7.6852683458347406E-7</v>
      </c>
      <c r="AA89">
        <f t="shared" si="176"/>
        <v>1.1104739486654061E-5</v>
      </c>
      <c r="AC89">
        <f t="shared" si="177"/>
        <v>-1.2280262200510261E-6</v>
      </c>
      <c r="AD89">
        <f t="shared" si="178"/>
        <v>1.0244516444974961E-5</v>
      </c>
      <c r="AH89">
        <f t="shared" si="179"/>
        <v>1.0336212652070587E-5</v>
      </c>
      <c r="AI89">
        <f t="shared" si="180"/>
        <v>-7.6852683458347406E-7</v>
      </c>
      <c r="AJ89">
        <f t="shared" si="180"/>
        <v>1.1104739486654061E-5</v>
      </c>
      <c r="AK89">
        <f t="shared" si="169"/>
        <v>0.99998966378734799</v>
      </c>
      <c r="AL89">
        <f t="shared" si="181"/>
        <v>-0.38426341729173702</v>
      </c>
      <c r="AM89">
        <f t="shared" si="182"/>
        <v>5.5523697433270307</v>
      </c>
      <c r="AN89">
        <f t="shared" si="183"/>
        <v>-8.0054878602445215E-2</v>
      </c>
      <c r="AO89">
        <f t="shared" si="184"/>
        <v>0.49574729851134208</v>
      </c>
      <c r="AP89">
        <f t="shared" si="185"/>
        <v>-0.61401311002551306</v>
      </c>
      <c r="AQ89">
        <f t="shared" si="186"/>
        <v>5.1222582224874804</v>
      </c>
      <c r="AR89">
        <f t="shared" si="187"/>
        <v>-0.1279193979219819</v>
      </c>
      <c r="AS89">
        <f t="shared" si="188"/>
        <v>0.45734448415066792</v>
      </c>
      <c r="AX89">
        <f t="shared" si="189"/>
        <v>-0.10398713826221356</v>
      </c>
      <c r="AY89">
        <f t="shared" si="190"/>
        <v>0.476545891331005</v>
      </c>
      <c r="BJ89" t="s">
        <v>72</v>
      </c>
      <c r="BK89" s="10">
        <f>BK88*0.000000000001</f>
        <v>6.5073271974665076E-11</v>
      </c>
    </row>
    <row r="90" spans="1:63" x14ac:dyDescent="0.25">
      <c r="A90">
        <v>300</v>
      </c>
      <c r="B90">
        <f t="shared" si="192"/>
        <v>18000</v>
      </c>
      <c r="C90">
        <v>0.10050000000000001</v>
      </c>
      <c r="D90">
        <v>7.3899999999999993E-2</v>
      </c>
      <c r="F90">
        <v>300</v>
      </c>
      <c r="G90">
        <v>9.11E-2</v>
      </c>
      <c r="H90">
        <v>6.93E-2</v>
      </c>
      <c r="J90">
        <v>300</v>
      </c>
      <c r="N90">
        <v>300</v>
      </c>
      <c r="U90">
        <f t="shared" si="171"/>
        <v>-5.0127205687369123E-7</v>
      </c>
      <c r="V90">
        <f t="shared" si="172"/>
        <v>1.1788847590895527E-5</v>
      </c>
      <c r="W90">
        <f t="shared" si="173"/>
        <v>4.2942306205513304E-7</v>
      </c>
      <c r="X90">
        <f t="shared" si="174"/>
        <v>3.6755389713282962E-7</v>
      </c>
      <c r="Y90">
        <v>300</v>
      </c>
      <c r="Z90">
        <f t="shared" si="175"/>
        <v>-7.1848994818558229E-8</v>
      </c>
      <c r="AA90">
        <f t="shared" si="176"/>
        <v>1.2156401488028357E-5</v>
      </c>
      <c r="AC90">
        <f t="shared" si="177"/>
        <v>-9.3069511892882426E-7</v>
      </c>
      <c r="AD90">
        <f t="shared" si="178"/>
        <v>1.1421293693762697E-5</v>
      </c>
      <c r="AH90">
        <f t="shared" si="179"/>
        <v>1.2084552493209799E-5</v>
      </c>
      <c r="AI90">
        <f t="shared" si="180"/>
        <v>-7.1848994818558229E-8</v>
      </c>
      <c r="AJ90">
        <f t="shared" si="180"/>
        <v>1.2156401488028357E-5</v>
      </c>
      <c r="AK90">
        <f t="shared" si="169"/>
        <v>0.99998791544750676</v>
      </c>
      <c r="AL90">
        <f t="shared" si="181"/>
        <v>-3.5924497409279117E-2</v>
      </c>
      <c r="AM90">
        <f t="shared" si="182"/>
        <v>6.0782007440141781</v>
      </c>
      <c r="AN90">
        <f t="shared" si="183"/>
        <v>-7.4842702935998167E-3</v>
      </c>
      <c r="AO90">
        <f t="shared" si="184"/>
        <v>0.54269649500126593</v>
      </c>
      <c r="AP90">
        <f t="shared" si="185"/>
        <v>-0.46534755946441214</v>
      </c>
      <c r="AQ90">
        <f t="shared" si="186"/>
        <v>5.7106468468813487</v>
      </c>
      <c r="AR90">
        <f t="shared" si="187"/>
        <v>-9.6947408221752532E-2</v>
      </c>
      <c r="AS90">
        <f t="shared" si="188"/>
        <v>0.50987918275726329</v>
      </c>
      <c r="AX90">
        <f t="shared" si="189"/>
        <v>-5.2215839257676172E-2</v>
      </c>
      <c r="AY90">
        <f t="shared" si="190"/>
        <v>0.52628783887926467</v>
      </c>
      <c r="BJ90" t="s">
        <v>75</v>
      </c>
      <c r="BK90">
        <v>0.5</v>
      </c>
    </row>
    <row r="93" spans="1:63" x14ac:dyDescent="0.25">
      <c r="S93" t="s">
        <v>38</v>
      </c>
    </row>
    <row r="94" spans="1:63" x14ac:dyDescent="0.25">
      <c r="A94" s="14" t="s">
        <v>35</v>
      </c>
      <c r="B94" s="14"/>
      <c r="C94" s="14"/>
      <c r="D94" s="14"/>
      <c r="F94" s="14" t="s">
        <v>36</v>
      </c>
      <c r="G94" s="14"/>
      <c r="H94" s="14"/>
      <c r="J94" s="14" t="s">
        <v>37</v>
      </c>
      <c r="K94" s="14"/>
      <c r="L94" s="14"/>
      <c r="N94" s="15" t="s">
        <v>46</v>
      </c>
      <c r="O94" s="15"/>
      <c r="P94" s="15"/>
    </row>
    <row r="95" spans="1:63" x14ac:dyDescent="0.25">
      <c r="A95" t="s">
        <v>0</v>
      </c>
      <c r="C95" t="s">
        <v>1</v>
      </c>
      <c r="D95" t="s">
        <v>1</v>
      </c>
      <c r="F95" t="s">
        <v>0</v>
      </c>
      <c r="G95" t="s">
        <v>1</v>
      </c>
      <c r="H95" t="s">
        <v>2</v>
      </c>
      <c r="J95" t="s">
        <v>0</v>
      </c>
      <c r="K95" t="s">
        <v>1</v>
      </c>
      <c r="L95" t="s">
        <v>2</v>
      </c>
      <c r="N95" t="s">
        <v>0</v>
      </c>
      <c r="O95" t="s">
        <v>1</v>
      </c>
      <c r="P95" t="s">
        <v>2</v>
      </c>
    </row>
    <row r="96" spans="1:63" x14ac:dyDescent="0.25">
      <c r="A96">
        <v>5</v>
      </c>
      <c r="B96">
        <f>A96*60</f>
        <v>300</v>
      </c>
      <c r="C96">
        <v>6.4000000000000003E-3</v>
      </c>
      <c r="D96">
        <v>5.9999999999999995E-4</v>
      </c>
      <c r="F96">
        <v>5</v>
      </c>
      <c r="G96">
        <v>8.0000000000000002E-3</v>
      </c>
      <c r="H96">
        <v>1.2999999999999999E-3</v>
      </c>
      <c r="J96">
        <v>5</v>
      </c>
      <c r="N96">
        <v>5</v>
      </c>
      <c r="Y96">
        <v>5</v>
      </c>
      <c r="Z96">
        <f>((C96*$U$7)-(D96*$U$6))/(($U$7*$U$4)-($U$6*$U$5))</f>
        <v>1.5326280239801328E-6</v>
      </c>
      <c r="AA96">
        <f>((D96*$U$4)-(C96*$U$5))/(($U$7*$U$4)-($U$6*$U$5))</f>
        <v>6.0368509926812474E-8</v>
      </c>
      <c r="AC96">
        <f>((G96*$U$7)-(H96*$U$6))/(($U$7*$U$4)-($U$6*$U$5))</f>
        <v>1.7098796296764619E-6</v>
      </c>
      <c r="AD96">
        <f>((H96*$U$4)-(G96*$U$5))/(($U$7*$U$4)-($U$6*$U$5))</f>
        <v>1.7106879873177264E-7</v>
      </c>
      <c r="AF96">
        <f>((K96*$U$7)-(L96*$U$6))/(($U$7*$U$4)-($U$6*$U$5))</f>
        <v>0</v>
      </c>
      <c r="AG96">
        <f>((L96*$U$4)-(K96*$U$5))/(($U$7*$U$4)-($U$6*$U$5))</f>
        <v>0</v>
      </c>
    </row>
    <row r="97" spans="1:33" x14ac:dyDescent="0.25">
      <c r="A97">
        <v>15</v>
      </c>
      <c r="B97">
        <f t="shared" ref="B97:B107" si="193">A97*60</f>
        <v>900</v>
      </c>
      <c r="C97">
        <v>1.84E-2</v>
      </c>
      <c r="D97">
        <v>2.3E-3</v>
      </c>
      <c r="F97">
        <v>15</v>
      </c>
      <c r="G97">
        <v>1.4E-2</v>
      </c>
      <c r="H97">
        <v>1.5E-3</v>
      </c>
      <c r="J97">
        <v>15</v>
      </c>
      <c r="N97">
        <v>15</v>
      </c>
      <c r="Y97">
        <v>15</v>
      </c>
      <c r="Z97">
        <f t="shared" ref="Z97:Z107" si="194">((C97*$U$7)-(D97*$U$6))/(($U$7*$U$4)-($U$6*$U$5))</f>
        <v>4.1910408322669637E-6</v>
      </c>
      <c r="AA97">
        <f t="shared" ref="AA97:AA107" si="195">((D97*$U$4)-(C97*$U$5))/(($U$7*$U$4)-($U$6*$U$5))</f>
        <v>2.7351345287753645E-7</v>
      </c>
      <c r="AC97">
        <f t="shared" ref="AC97:AC107" si="196">((G97*$U$7)-(H97*$U$6))/(($U$7*$U$4)-($U$6*$U$5))</f>
        <v>3.2824287796274367E-6</v>
      </c>
      <c r="AD97">
        <f t="shared" ref="AD97:AD107" si="197">((H97*$U$4)-(G97*$U$5))/(($U$7*$U$4)-($U$6*$U$5))</f>
        <v>1.6464980682510355E-7</v>
      </c>
      <c r="AF97">
        <f t="shared" ref="AF97:AF107" si="198">((K97*$U$7)-(L97*$U$6))/(($U$7*$U$4)-($U$6*$U$5))</f>
        <v>0</v>
      </c>
      <c r="AG97">
        <f t="shared" ref="AG97:AG107" si="199">((L97*$U$4)-(K97*$U$5))/(($U$7*$U$4)-($U$6*$U$5))</f>
        <v>0</v>
      </c>
    </row>
    <row r="98" spans="1:33" x14ac:dyDescent="0.25">
      <c r="A98">
        <v>30</v>
      </c>
      <c r="B98">
        <f t="shared" si="193"/>
        <v>1800</v>
      </c>
      <c r="C98">
        <v>2.4E-2</v>
      </c>
      <c r="D98">
        <v>1.9E-3</v>
      </c>
      <c r="E98" t="s">
        <v>62</v>
      </c>
      <c r="F98">
        <v>30</v>
      </c>
      <c r="G98">
        <v>2.8899999999999999E-2</v>
      </c>
      <c r="H98">
        <v>2.3999999999999998E-3</v>
      </c>
      <c r="J98">
        <v>30</v>
      </c>
      <c r="N98">
        <v>30</v>
      </c>
      <c r="Y98">
        <v>30</v>
      </c>
      <c r="Z98">
        <f t="shared" si="194"/>
        <v>5.8783857992064916E-6</v>
      </c>
      <c r="AA98">
        <f t="shared" si="195"/>
        <v>1.6554035501983773E-7</v>
      </c>
      <c r="AC98">
        <f t="shared" si="196"/>
        <v>7.0365952084533076E-6</v>
      </c>
      <c r="AD98">
        <f t="shared" si="197"/>
        <v>2.188219618939305E-7</v>
      </c>
      <c r="AF98">
        <f t="shared" si="198"/>
        <v>0</v>
      </c>
      <c r="AG98">
        <f t="shared" si="199"/>
        <v>0</v>
      </c>
    </row>
    <row r="99" spans="1:33" x14ac:dyDescent="0.25">
      <c r="A99">
        <v>60</v>
      </c>
      <c r="B99">
        <f t="shared" si="193"/>
        <v>3600</v>
      </c>
      <c r="C99">
        <v>5.4600000000000003E-2</v>
      </c>
      <c r="D99">
        <v>7.3000000000000001E-3</v>
      </c>
      <c r="F99">
        <v>60</v>
      </c>
      <c r="G99">
        <v>4.9099999999999998E-2</v>
      </c>
      <c r="H99">
        <v>5.7000000000000002E-3</v>
      </c>
      <c r="J99">
        <v>60</v>
      </c>
      <c r="N99">
        <v>60</v>
      </c>
      <c r="Y99">
        <v>60</v>
      </c>
      <c r="Z99">
        <f t="shared" si="194"/>
        <v>1.2258630730668601E-5</v>
      </c>
      <c r="AA99">
        <f t="shared" si="195"/>
        <v>8.9419212647012719E-7</v>
      </c>
      <c r="AC99">
        <f t="shared" si="196"/>
        <v>1.1347489737922323E-5</v>
      </c>
      <c r="AD99">
        <f t="shared" si="197"/>
        <v>6.5381275655194202E-7</v>
      </c>
      <c r="AF99">
        <f t="shared" si="198"/>
        <v>0</v>
      </c>
      <c r="AG99">
        <f t="shared" si="199"/>
        <v>0</v>
      </c>
    </row>
    <row r="100" spans="1:33" x14ac:dyDescent="0.25">
      <c r="A100">
        <v>90</v>
      </c>
      <c r="B100">
        <f t="shared" si="193"/>
        <v>5400</v>
      </c>
      <c r="C100">
        <v>7.51E-2</v>
      </c>
      <c r="D100">
        <v>9.4000000000000004E-3</v>
      </c>
      <c r="F100">
        <v>90</v>
      </c>
      <c r="G100">
        <v>7.6399999999999996E-2</v>
      </c>
      <c r="H100">
        <v>9.4999999999999998E-3</v>
      </c>
      <c r="J100">
        <v>90</v>
      </c>
      <c r="N100">
        <v>90</v>
      </c>
      <c r="Y100">
        <v>90</v>
      </c>
      <c r="Z100">
        <f t="shared" si="194"/>
        <v>1.7101144598292315E-5</v>
      </c>
      <c r="AA100">
        <f t="shared" si="195"/>
        <v>1.1185240166216399E-6</v>
      </c>
      <c r="AC100">
        <f t="shared" si="196"/>
        <v>1.742064908499334E-5</v>
      </c>
      <c r="AD100">
        <f t="shared" si="197"/>
        <v>1.1269837728751665E-6</v>
      </c>
      <c r="AF100">
        <f t="shared" si="198"/>
        <v>0</v>
      </c>
      <c r="AG100">
        <f t="shared" si="199"/>
        <v>0</v>
      </c>
    </row>
    <row r="101" spans="1:33" x14ac:dyDescent="0.25">
      <c r="A101">
        <v>120</v>
      </c>
      <c r="B101">
        <f t="shared" si="193"/>
        <v>7200</v>
      </c>
      <c r="C101">
        <v>9.4100000000000003E-2</v>
      </c>
      <c r="D101">
        <v>1.29E-2</v>
      </c>
      <c r="F101">
        <v>120</v>
      </c>
      <c r="G101">
        <v>0.105</v>
      </c>
      <c r="H101">
        <v>1.2699999999999999E-2</v>
      </c>
      <c r="J101">
        <v>120</v>
      </c>
      <c r="N101">
        <v>120</v>
      </c>
      <c r="Y101">
        <v>120</v>
      </c>
      <c r="Z101">
        <f t="shared" si="194"/>
        <v>2.1007679668549886E-5</v>
      </c>
      <c r="AA101">
        <f t="shared" si="195"/>
        <v>1.5965185346020426E-6</v>
      </c>
      <c r="AC101">
        <f t="shared" si="196"/>
        <v>2.407537433732737E-5</v>
      </c>
      <c r="AD101">
        <f t="shared" si="197"/>
        <v>1.4869314310404999E-6</v>
      </c>
      <c r="AF101">
        <f t="shared" si="198"/>
        <v>0</v>
      </c>
      <c r="AG101">
        <f t="shared" si="199"/>
        <v>0</v>
      </c>
    </row>
    <row r="102" spans="1:33" x14ac:dyDescent="0.25">
      <c r="A102">
        <v>150</v>
      </c>
      <c r="B102">
        <f t="shared" si="193"/>
        <v>9000</v>
      </c>
      <c r="C102">
        <v>0.11269999999999999</v>
      </c>
      <c r="D102">
        <v>1.5599999999999999E-2</v>
      </c>
      <c r="F102">
        <v>150</v>
      </c>
      <c r="G102">
        <v>0.12720000000000001</v>
      </c>
      <c r="H102">
        <v>1.66E-2</v>
      </c>
      <c r="J102">
        <v>150</v>
      </c>
      <c r="N102">
        <v>150</v>
      </c>
      <c r="Y102">
        <v>150</v>
      </c>
      <c r="Z102">
        <f t="shared" si="194"/>
        <v>2.510388524681372E-5</v>
      </c>
      <c r="AA102">
        <f t="shared" si="195"/>
        <v>1.9381923425138681E-6</v>
      </c>
      <c r="AC102">
        <f t="shared" si="196"/>
        <v>2.8710786074066155E-5</v>
      </c>
      <c r="AD102">
        <f t="shared" si="197"/>
        <v>2.0124935060430832E-6</v>
      </c>
      <c r="AF102">
        <f t="shared" si="198"/>
        <v>0</v>
      </c>
      <c r="AG102">
        <f t="shared" si="199"/>
        <v>0</v>
      </c>
    </row>
    <row r="103" spans="1:33" x14ac:dyDescent="0.25">
      <c r="A103">
        <v>180</v>
      </c>
      <c r="B103">
        <f t="shared" si="193"/>
        <v>10800</v>
      </c>
      <c r="C103">
        <v>0.14949999999999999</v>
      </c>
      <c r="D103">
        <v>2.64E-2</v>
      </c>
      <c r="F103">
        <v>180</v>
      </c>
      <c r="G103">
        <v>0.14199999999999999</v>
      </c>
      <c r="H103">
        <v>1.9699999999999999E-2</v>
      </c>
      <c r="J103">
        <v>180</v>
      </c>
      <c r="N103">
        <v>180</v>
      </c>
      <c r="Y103">
        <v>180</v>
      </c>
      <c r="Z103">
        <f t="shared" si="194"/>
        <v>3.1164851489798614E-5</v>
      </c>
      <c r="AA103">
        <f t="shared" si="195"/>
        <v>3.5629839759129292E-6</v>
      </c>
      <c r="AC103">
        <f t="shared" si="196"/>
        <v>3.1613873837681058E-5</v>
      </c>
      <c r="AD103">
        <f t="shared" si="197"/>
        <v>2.4497847330053416E-6</v>
      </c>
      <c r="AF103">
        <f t="shared" si="198"/>
        <v>0</v>
      </c>
      <c r="AG103">
        <f t="shared" si="199"/>
        <v>0</v>
      </c>
    </row>
    <row r="104" spans="1:33" x14ac:dyDescent="0.25">
      <c r="A104">
        <v>210</v>
      </c>
      <c r="B104">
        <f t="shared" si="193"/>
        <v>12600</v>
      </c>
      <c r="C104">
        <v>0.16320000000000001</v>
      </c>
      <c r="D104">
        <v>2.3599999999999999E-2</v>
      </c>
      <c r="F104">
        <v>210</v>
      </c>
      <c r="G104">
        <v>0.16139999999999999</v>
      </c>
      <c r="H104">
        <v>2.0500000000000001E-2</v>
      </c>
      <c r="J104">
        <v>210</v>
      </c>
      <c r="N104">
        <v>210</v>
      </c>
      <c r="Y104">
        <v>210</v>
      </c>
      <c r="Z104">
        <f t="shared" si="194"/>
        <v>3.5974714934258399E-5</v>
      </c>
      <c r="AA104">
        <f t="shared" si="195"/>
        <v>2.9822110740119611E-6</v>
      </c>
      <c r="AC104">
        <f t="shared" si="196"/>
        <v>3.6641045492742301E-5</v>
      </c>
      <c r="AD104">
        <f t="shared" si="197"/>
        <v>2.4556843889972324E-6</v>
      </c>
      <c r="AF104">
        <f t="shared" si="198"/>
        <v>0</v>
      </c>
      <c r="AG104">
        <f t="shared" si="199"/>
        <v>0</v>
      </c>
    </row>
    <row r="105" spans="1:33" x14ac:dyDescent="0.25">
      <c r="A105">
        <v>240</v>
      </c>
      <c r="B105">
        <f t="shared" si="193"/>
        <v>14400</v>
      </c>
      <c r="C105">
        <v>0.17799999999999999</v>
      </c>
      <c r="D105">
        <v>2.6499999999999999E-2</v>
      </c>
      <c r="F105">
        <v>240</v>
      </c>
      <c r="G105">
        <v>0.1797</v>
      </c>
      <c r="H105">
        <v>2.3599999999999999E-2</v>
      </c>
      <c r="J105">
        <v>240</v>
      </c>
      <c r="N105">
        <v>240</v>
      </c>
      <c r="Y105">
        <v>240</v>
      </c>
      <c r="Z105">
        <f t="shared" si="194"/>
        <v>3.8952677388891021E-5</v>
      </c>
      <c r="AA105">
        <f t="shared" si="195"/>
        <v>3.384735696856672E-6</v>
      </c>
      <c r="AC105">
        <f t="shared" si="196"/>
        <v>4.0505130496922282E-5</v>
      </c>
      <c r="AD105">
        <f t="shared" si="197"/>
        <v>2.868950684945364E-6</v>
      </c>
      <c r="AF105">
        <f t="shared" si="198"/>
        <v>0</v>
      </c>
      <c r="AG105">
        <f t="shared" si="199"/>
        <v>0</v>
      </c>
    </row>
    <row r="106" spans="1:33" x14ac:dyDescent="0.25">
      <c r="A106">
        <v>270</v>
      </c>
      <c r="B106">
        <f t="shared" si="193"/>
        <v>16200</v>
      </c>
      <c r="C106">
        <v>0.19339999999999999</v>
      </c>
      <c r="D106">
        <v>2.9399999999999999E-2</v>
      </c>
      <c r="F106">
        <v>270</v>
      </c>
      <c r="G106">
        <v>0.20100000000000001</v>
      </c>
      <c r="H106">
        <v>2.8199999999999999E-2</v>
      </c>
      <c r="J106">
        <v>270</v>
      </c>
      <c r="N106">
        <v>270</v>
      </c>
      <c r="Y106">
        <v>270</v>
      </c>
      <c r="Z106">
        <f t="shared" si="194"/>
        <v>4.2095382227620502E-5</v>
      </c>
      <c r="AA106">
        <f t="shared" si="195"/>
        <v>3.7831417600989611E-6</v>
      </c>
      <c r="AC106">
        <f t="shared" si="196"/>
        <v>4.4631367238953779E-5</v>
      </c>
      <c r="AD106">
        <f t="shared" si="197"/>
        <v>3.5223737137629977E-6</v>
      </c>
      <c r="AF106">
        <f t="shared" si="198"/>
        <v>0</v>
      </c>
      <c r="AG106">
        <f t="shared" si="199"/>
        <v>0</v>
      </c>
    </row>
    <row r="107" spans="1:33" x14ac:dyDescent="0.25">
      <c r="A107">
        <v>300</v>
      </c>
      <c r="B107">
        <f t="shared" si="193"/>
        <v>18000</v>
      </c>
      <c r="C107">
        <v>0.2147</v>
      </c>
      <c r="D107">
        <v>3.2500000000000001E-2</v>
      </c>
      <c r="F107">
        <v>300</v>
      </c>
      <c r="G107">
        <v>0.21629999999999999</v>
      </c>
      <c r="H107">
        <v>3.0300000000000001E-2</v>
      </c>
      <c r="J107">
        <v>300</v>
      </c>
      <c r="N107">
        <v>300</v>
      </c>
      <c r="Y107">
        <v>300</v>
      </c>
      <c r="Z107">
        <f t="shared" si="194"/>
        <v>4.6783179152284827E-5</v>
      </c>
      <c r="AA107">
        <f t="shared" si="195"/>
        <v>4.175815258034985E-6</v>
      </c>
      <c r="AC107">
        <f t="shared" si="196"/>
        <v>4.804611377773795E-5</v>
      </c>
      <c r="AD107">
        <f t="shared" si="197"/>
        <v>3.7823997871354988E-6</v>
      </c>
      <c r="AF107">
        <f t="shared" si="198"/>
        <v>0</v>
      </c>
      <c r="AG107">
        <f t="shared" si="199"/>
        <v>0</v>
      </c>
    </row>
    <row r="109" spans="1:33" x14ac:dyDescent="0.25">
      <c r="A109" s="14" t="s">
        <v>39</v>
      </c>
      <c r="B109" s="14"/>
      <c r="C109" s="14"/>
      <c r="D109" s="14"/>
      <c r="F109" s="14" t="s">
        <v>40</v>
      </c>
      <c r="G109" s="14"/>
      <c r="H109" s="14"/>
      <c r="J109" s="14" t="s">
        <v>41</v>
      </c>
      <c r="K109" s="14"/>
      <c r="L109" s="14"/>
      <c r="N109" s="15" t="s">
        <v>64</v>
      </c>
      <c r="O109" s="15"/>
      <c r="P109" s="15"/>
    </row>
    <row r="110" spans="1:33" x14ac:dyDescent="0.25">
      <c r="A110" t="s">
        <v>0</v>
      </c>
      <c r="C110" t="s">
        <v>1</v>
      </c>
      <c r="D110" t="s">
        <v>2</v>
      </c>
      <c r="F110" t="s">
        <v>0</v>
      </c>
      <c r="G110" t="s">
        <v>1</v>
      </c>
      <c r="H110" t="s">
        <v>2</v>
      </c>
      <c r="J110" t="s">
        <v>0</v>
      </c>
      <c r="K110" t="s">
        <v>1</v>
      </c>
      <c r="L110" t="s">
        <v>2</v>
      </c>
      <c r="N110" t="s">
        <v>0</v>
      </c>
      <c r="O110" t="s">
        <v>1</v>
      </c>
      <c r="P110" t="s">
        <v>2</v>
      </c>
    </row>
    <row r="111" spans="1:33" x14ac:dyDescent="0.25">
      <c r="A111">
        <v>5</v>
      </c>
      <c r="B111">
        <f>A111*60</f>
        <v>300</v>
      </c>
      <c r="C111">
        <v>1.6299999999999999E-2</v>
      </c>
      <c r="D111">
        <v>2.8999999999999998E-3</v>
      </c>
      <c r="F111">
        <v>5</v>
      </c>
      <c r="G111">
        <v>2.5899999999999999E-2</v>
      </c>
      <c r="H111">
        <v>8.8000000000000005E-3</v>
      </c>
      <c r="I111" t="s">
        <v>62</v>
      </c>
      <c r="J111">
        <v>5</v>
      </c>
      <c r="N111">
        <v>5</v>
      </c>
      <c r="Y111">
        <v>5</v>
      </c>
      <c r="Z111">
        <f>((C111*$U$7)-(D111*$U$6))/(($U$7*$U$4)-($U$6*$U$5))</f>
        <v>3.3898184148747917E-6</v>
      </c>
      <c r="AA111">
        <f>((D111*$U$4)-(C111*$U$5))/(($U$7*$U$4)-($U$6*$U$5))</f>
        <v>3.9222822383865645E-7</v>
      </c>
      <c r="AC111">
        <f>((G111*$U$7)-(H111*$U$6))/(($U$7*$U$4)-($U$6*$U$5))</f>
        <v>3.8168931754022282E-6</v>
      </c>
      <c r="AD111">
        <f>((H111*$U$4)-(G111*$U$5))/(($U$7*$U$4)-($U$6*$U$5))</f>
        <v>1.351946091667576E-6</v>
      </c>
      <c r="AF111">
        <f>((K111*$U$7)-(L111*$U$6))/(($U$7*$U$4)-($U$6*$U$5))</f>
        <v>0</v>
      </c>
      <c r="AG111">
        <f>((L111*$U$4)-(K111*$U$5))/(($U$7*$U$4)-($U$6*$U$5))</f>
        <v>0</v>
      </c>
    </row>
    <row r="112" spans="1:33" x14ac:dyDescent="0.25">
      <c r="A112">
        <v>15</v>
      </c>
      <c r="B112">
        <f t="shared" ref="B112:B122" si="200">A112*60</f>
        <v>900</v>
      </c>
      <c r="C112">
        <v>3.1600000000000003E-2</v>
      </c>
      <c r="D112">
        <v>5.5999999999999999E-3</v>
      </c>
      <c r="F112">
        <v>15</v>
      </c>
      <c r="G112">
        <v>4.02E-2</v>
      </c>
      <c r="H112">
        <v>4.7999999999999996E-3</v>
      </c>
      <c r="J112">
        <v>15</v>
      </c>
      <c r="N112">
        <v>15</v>
      </c>
      <c r="Y112">
        <v>15</v>
      </c>
      <c r="Z112">
        <f t="shared" ref="Z112:Z122" si="201">((C112*$U$7)-(D112*$U$6))/(($U$7*$U$4)-($U$6*$U$5))</f>
        <v>6.5799408806058475E-6</v>
      </c>
      <c r="AA112">
        <f t="shared" ref="AA112:AA122" si="202">((D112*$U$4)-(C112*$U$5))/(($U$7*$U$4)-($U$6*$U$5))</f>
        <v>7.5655410956380129E-7</v>
      </c>
      <c r="AC112">
        <f t="shared" ref="AC112:AC122" si="203">((G112*$U$7)-(H112*$U$6))/(($U$7*$U$4)-($U$6*$U$5))</f>
        <v>9.2407471500651373E-6</v>
      </c>
      <c r="AD112">
        <f t="shared" ref="AD112:AD122" si="204">((H112*$U$4)-(G112*$U$5))/(($U$7*$U$4)-($U$6*$U$5))</f>
        <v>5.5845500545889786E-7</v>
      </c>
      <c r="AF112">
        <f t="shared" ref="AF112:AF122" si="205">((K112*$U$7)-(L112*$U$6))/(($U$7*$U$4)-($U$6*$U$5))</f>
        <v>0</v>
      </c>
      <c r="AG112">
        <f t="shared" ref="AG112:AG122" si="206">((L112*$U$4)-(K112*$U$5))/(($U$7*$U$4)-($U$6*$U$5))</f>
        <v>0</v>
      </c>
    </row>
    <row r="113" spans="1:33" x14ac:dyDescent="0.25">
      <c r="A113">
        <v>30</v>
      </c>
      <c r="B113">
        <f t="shared" si="200"/>
        <v>1800</v>
      </c>
      <c r="C113">
        <v>5.4199999999999998E-2</v>
      </c>
      <c r="D113">
        <v>1.09E-2</v>
      </c>
      <c r="F113">
        <v>30</v>
      </c>
      <c r="G113">
        <v>4.9599999999999998E-2</v>
      </c>
      <c r="H113">
        <v>6.3E-3</v>
      </c>
      <c r="J113">
        <v>30</v>
      </c>
      <c r="N113">
        <v>30</v>
      </c>
      <c r="Y113">
        <v>30</v>
      </c>
      <c r="Z113">
        <f t="shared" si="201"/>
        <v>1.0801058036285234E-5</v>
      </c>
      <c r="AA113">
        <f t="shared" si="202"/>
        <v>1.5227367069876063E-6</v>
      </c>
      <c r="AC113">
        <f t="shared" si="203"/>
        <v>1.1260150984949916E-5</v>
      </c>
      <c r="AD113">
        <f t="shared" si="204"/>
        <v>7.5468043590256794E-7</v>
      </c>
      <c r="AF113">
        <f t="shared" si="205"/>
        <v>0</v>
      </c>
      <c r="AG113">
        <f t="shared" si="206"/>
        <v>0</v>
      </c>
    </row>
    <row r="114" spans="1:33" x14ac:dyDescent="0.25">
      <c r="A114">
        <v>60</v>
      </c>
      <c r="B114">
        <f t="shared" si="200"/>
        <v>3600</v>
      </c>
      <c r="C114">
        <v>7.5700000000000003E-2</v>
      </c>
      <c r="D114">
        <v>1.2699999999999999E-2</v>
      </c>
      <c r="F114">
        <v>60</v>
      </c>
      <c r="G114">
        <v>8.0199999999999994E-2</v>
      </c>
      <c r="H114">
        <v>1.0999999999999999E-2</v>
      </c>
      <c r="J114">
        <v>60</v>
      </c>
      <c r="N114">
        <v>60</v>
      </c>
      <c r="Y114">
        <v>60</v>
      </c>
      <c r="Z114">
        <f t="shared" si="201"/>
        <v>1.6030454580596961E-5</v>
      </c>
      <c r="AA114">
        <f t="shared" si="202"/>
        <v>1.6880544249587604E-6</v>
      </c>
      <c r="AC114">
        <f t="shared" si="203"/>
        <v>1.7902457334974011E-5</v>
      </c>
      <c r="AD114">
        <f t="shared" si="204"/>
        <v>1.3616490929414394E-6</v>
      </c>
      <c r="AF114">
        <f t="shared" si="205"/>
        <v>0</v>
      </c>
      <c r="AG114">
        <f t="shared" si="206"/>
        <v>0</v>
      </c>
    </row>
    <row r="115" spans="1:33" x14ac:dyDescent="0.25">
      <c r="A115">
        <v>90</v>
      </c>
      <c r="B115">
        <f t="shared" si="200"/>
        <v>5400</v>
      </c>
      <c r="C115">
        <v>9.8900000000000002E-2</v>
      </c>
      <c r="D115">
        <v>1.5800000000000002E-2</v>
      </c>
      <c r="F115">
        <v>90</v>
      </c>
      <c r="G115">
        <v>0.1076</v>
      </c>
      <c r="H115">
        <v>1.5699999999999999E-2</v>
      </c>
      <c r="J115">
        <v>90</v>
      </c>
      <c r="N115">
        <v>90</v>
      </c>
      <c r="Y115">
        <v>90</v>
      </c>
      <c r="Z115">
        <f t="shared" si="201"/>
        <v>2.123993572156803E-5</v>
      </c>
      <c r="AA115">
        <f t="shared" si="202"/>
        <v>2.0676858174871153E-6</v>
      </c>
      <c r="AC115">
        <f t="shared" si="203"/>
        <v>2.3666137636481476E-5</v>
      </c>
      <c r="AD115">
        <f t="shared" si="204"/>
        <v>1.9905834011932263E-6</v>
      </c>
      <c r="AF115">
        <f t="shared" si="205"/>
        <v>0</v>
      </c>
      <c r="AG115">
        <f t="shared" si="206"/>
        <v>0</v>
      </c>
    </row>
    <row r="116" spans="1:33" x14ac:dyDescent="0.25">
      <c r="A116">
        <v>120</v>
      </c>
      <c r="B116">
        <f t="shared" si="200"/>
        <v>7200</v>
      </c>
      <c r="C116">
        <v>0.1298</v>
      </c>
      <c r="D116">
        <v>2.4E-2</v>
      </c>
      <c r="F116">
        <v>120</v>
      </c>
      <c r="G116">
        <v>0.13450000000000001</v>
      </c>
      <c r="H116">
        <v>2.0500000000000001E-2</v>
      </c>
      <c r="J116">
        <v>120</v>
      </c>
      <c r="N116">
        <v>120</v>
      </c>
      <c r="Y116">
        <v>120</v>
      </c>
      <c r="Z116">
        <f t="shared" si="201"/>
        <v>2.6654306170830624E-5</v>
      </c>
      <c r="AA116">
        <f t="shared" si="202"/>
        <v>3.2810107667818659E-6</v>
      </c>
      <c r="AC116">
        <f t="shared" si="203"/>
        <v>2.9255095272399365E-5</v>
      </c>
      <c r="AD116">
        <f t="shared" si="204"/>
        <v>2.6403331445058056E-6</v>
      </c>
      <c r="AF116">
        <f t="shared" si="205"/>
        <v>0</v>
      </c>
      <c r="AG116">
        <f t="shared" si="206"/>
        <v>0</v>
      </c>
    </row>
    <row r="117" spans="1:33" x14ac:dyDescent="0.25">
      <c r="A117">
        <v>150</v>
      </c>
      <c r="B117">
        <f t="shared" si="200"/>
        <v>9000</v>
      </c>
      <c r="C117">
        <v>0.15359999999999999</v>
      </c>
      <c r="D117">
        <v>2.81E-2</v>
      </c>
      <c r="F117">
        <v>150</v>
      </c>
      <c r="G117">
        <v>0.15770000000000001</v>
      </c>
      <c r="H117">
        <v>2.5100000000000001E-2</v>
      </c>
      <c r="J117">
        <v>150</v>
      </c>
      <c r="N117">
        <v>150</v>
      </c>
      <c r="Y117">
        <v>150</v>
      </c>
      <c r="Z117">
        <f t="shared" si="201"/>
        <v>3.1654156240810009E-5</v>
      </c>
      <c r="AA117">
        <f t="shared" si="202"/>
        <v>3.8303566202955395E-6</v>
      </c>
      <c r="AC117">
        <f t="shared" si="203"/>
        <v>3.390301623073761E-5</v>
      </c>
      <c r="AD117">
        <f t="shared" si="204"/>
        <v>3.280714067915771E-6</v>
      </c>
      <c r="AF117">
        <f t="shared" si="205"/>
        <v>0</v>
      </c>
      <c r="AG117">
        <f t="shared" si="206"/>
        <v>0</v>
      </c>
    </row>
    <row r="118" spans="1:33" x14ac:dyDescent="0.25">
      <c r="A118">
        <v>180</v>
      </c>
      <c r="B118">
        <f t="shared" si="200"/>
        <v>10800</v>
      </c>
      <c r="C118">
        <v>0.17499999999999999</v>
      </c>
      <c r="D118">
        <v>3.2300000000000002E-2</v>
      </c>
      <c r="F118">
        <v>180</v>
      </c>
      <c r="G118">
        <v>0.18060000000000001</v>
      </c>
      <c r="H118">
        <v>3.0800000000000001E-2</v>
      </c>
      <c r="J118">
        <v>180</v>
      </c>
      <c r="N118">
        <v>180</v>
      </c>
      <c r="Y118">
        <v>180</v>
      </c>
      <c r="Z118">
        <f t="shared" si="201"/>
        <v>3.5957599428893066E-5</v>
      </c>
      <c r="AA118">
        <f t="shared" si="202"/>
        <v>4.4135600142776747E-6</v>
      </c>
      <c r="AC118">
        <f t="shared" si="203"/>
        <v>3.8056755196430005E-5</v>
      </c>
      <c r="AD118">
        <f t="shared" si="204"/>
        <v>4.1143705937734608E-6</v>
      </c>
      <c r="AF118">
        <f t="shared" si="205"/>
        <v>0</v>
      </c>
      <c r="AG118">
        <f t="shared" si="206"/>
        <v>0</v>
      </c>
    </row>
    <row r="119" spans="1:33" x14ac:dyDescent="0.25">
      <c r="A119">
        <v>210</v>
      </c>
      <c r="B119">
        <f t="shared" si="200"/>
        <v>12600</v>
      </c>
      <c r="C119">
        <v>0.1983</v>
      </c>
      <c r="D119">
        <v>3.8600000000000002E-2</v>
      </c>
      <c r="F119">
        <v>210</v>
      </c>
      <c r="G119">
        <v>0.1983</v>
      </c>
      <c r="H119">
        <v>3.3799999999999997E-2</v>
      </c>
      <c r="J119">
        <v>210</v>
      </c>
      <c r="N119">
        <v>210</v>
      </c>
      <c r="Y119">
        <v>210</v>
      </c>
      <c r="Z119">
        <f t="shared" si="201"/>
        <v>3.9996542577596914E-5</v>
      </c>
      <c r="AA119">
        <f t="shared" si="202"/>
        <v>5.3487706460863939E-6</v>
      </c>
      <c r="AC119">
        <f t="shared" si="203"/>
        <v>4.1793535162021968E-5</v>
      </c>
      <c r="AD119">
        <f t="shared" si="204"/>
        <v>4.5143721472652401E-6</v>
      </c>
      <c r="AF119">
        <f t="shared" si="205"/>
        <v>0</v>
      </c>
      <c r="AG119">
        <f t="shared" si="206"/>
        <v>0</v>
      </c>
    </row>
    <row r="120" spans="1:33" x14ac:dyDescent="0.25">
      <c r="A120">
        <v>240</v>
      </c>
      <c r="B120">
        <f t="shared" si="200"/>
        <v>14400</v>
      </c>
      <c r="C120">
        <v>0.21959999999999999</v>
      </c>
      <c r="D120">
        <v>4.4600000000000001E-2</v>
      </c>
      <c r="F120">
        <v>240</v>
      </c>
      <c r="G120">
        <v>0.22309999999999999</v>
      </c>
      <c r="H120">
        <v>4.1799999999999997E-2</v>
      </c>
      <c r="J120">
        <v>240</v>
      </c>
      <c r="N120">
        <v>240</v>
      </c>
      <c r="Y120">
        <v>240</v>
      </c>
      <c r="Z120">
        <f t="shared" si="201"/>
        <v>4.359865648250443E-5</v>
      </c>
      <c r="AA120">
        <f t="shared" si="202"/>
        <v>6.2455599037268634E-6</v>
      </c>
      <c r="AC120">
        <f t="shared" si="203"/>
        <v>4.5607899397317444E-5</v>
      </c>
      <c r="AD120">
        <f t="shared" si="204"/>
        <v>5.7348025150670626E-6</v>
      </c>
      <c r="AF120">
        <f t="shared" si="205"/>
        <v>0</v>
      </c>
      <c r="AG120">
        <f t="shared" si="206"/>
        <v>0</v>
      </c>
    </row>
    <row r="121" spans="1:33" x14ac:dyDescent="0.25">
      <c r="A121">
        <v>270</v>
      </c>
      <c r="B121">
        <f t="shared" si="200"/>
        <v>16200</v>
      </c>
      <c r="C121">
        <v>0.23519999999999999</v>
      </c>
      <c r="D121">
        <v>4.7500000000000001E-2</v>
      </c>
      <c r="F121">
        <v>270</v>
      </c>
      <c r="G121">
        <v>0.2331</v>
      </c>
      <c r="H121">
        <v>4.1799999999999997E-2</v>
      </c>
      <c r="J121">
        <v>270</v>
      </c>
      <c r="N121">
        <v>270</v>
      </c>
      <c r="Y121">
        <v>270</v>
      </c>
      <c r="Z121">
        <f t="shared" si="201"/>
        <v>4.679627544926621E-5</v>
      </c>
      <c r="AA121">
        <f t="shared" si="202"/>
        <v>6.6425931137683466E-6</v>
      </c>
      <c r="AC121">
        <f t="shared" si="203"/>
        <v>4.8353605798931922E-5</v>
      </c>
      <c r="AD121">
        <f t="shared" si="204"/>
        <v>5.6661598550267017E-6</v>
      </c>
      <c r="AF121">
        <f t="shared" si="205"/>
        <v>0</v>
      </c>
      <c r="AG121">
        <f t="shared" si="206"/>
        <v>0</v>
      </c>
    </row>
    <row r="122" spans="1:33" x14ac:dyDescent="0.25">
      <c r="A122">
        <v>300</v>
      </c>
      <c r="B122">
        <f t="shared" si="200"/>
        <v>18000</v>
      </c>
      <c r="C122">
        <v>0.251</v>
      </c>
      <c r="D122">
        <v>5.1900000000000002E-2</v>
      </c>
      <c r="F122">
        <v>300</v>
      </c>
      <c r="G122">
        <v>0.24990000000000001</v>
      </c>
      <c r="H122">
        <v>4.65E-2</v>
      </c>
      <c r="J122">
        <v>300</v>
      </c>
      <c r="N122">
        <v>300</v>
      </c>
      <c r="Y122">
        <v>300</v>
      </c>
      <c r="Z122">
        <f t="shared" si="201"/>
        <v>4.9487248361427448E-5</v>
      </c>
      <c r="AA122">
        <f t="shared" si="202"/>
        <v>7.2990030014906287E-6</v>
      </c>
      <c r="AC122">
        <f t="shared" si="203"/>
        <v>5.1206837314728048E-5</v>
      </c>
      <c r="AD122">
        <f t="shared" si="204"/>
        <v>6.3678553829212735E-6</v>
      </c>
      <c r="AF122">
        <f t="shared" si="205"/>
        <v>0</v>
      </c>
      <c r="AG122">
        <f t="shared" si="206"/>
        <v>0</v>
      </c>
    </row>
    <row r="124" spans="1:33" x14ac:dyDescent="0.25">
      <c r="A124" s="14" t="s">
        <v>42</v>
      </c>
      <c r="B124" s="14"/>
      <c r="C124" s="14"/>
      <c r="D124" s="14"/>
      <c r="F124" s="14" t="s">
        <v>43</v>
      </c>
      <c r="G124" s="14"/>
      <c r="H124" s="14"/>
      <c r="J124" s="14" t="s">
        <v>44</v>
      </c>
      <c r="K124" s="14"/>
      <c r="L124" s="14"/>
      <c r="N124" s="15" t="s">
        <v>65</v>
      </c>
      <c r="O124" s="15"/>
      <c r="P124" s="15"/>
    </row>
    <row r="125" spans="1:33" x14ac:dyDescent="0.25">
      <c r="A125" t="s">
        <v>0</v>
      </c>
      <c r="C125" t="s">
        <v>1</v>
      </c>
      <c r="D125" t="s">
        <v>2</v>
      </c>
      <c r="F125" t="s">
        <v>0</v>
      </c>
      <c r="G125" t="s">
        <v>1</v>
      </c>
      <c r="H125" t="s">
        <v>2</v>
      </c>
      <c r="J125" t="s">
        <v>0</v>
      </c>
      <c r="K125" t="s">
        <v>1</v>
      </c>
      <c r="L125" t="s">
        <v>2</v>
      </c>
      <c r="N125" t="s">
        <v>0</v>
      </c>
      <c r="O125" t="s">
        <v>1</v>
      </c>
      <c r="P125" t="s">
        <v>2</v>
      </c>
    </row>
    <row r="126" spans="1:33" x14ac:dyDescent="0.25">
      <c r="A126">
        <v>5</v>
      </c>
      <c r="B126">
        <f>A126*60</f>
        <v>300</v>
      </c>
      <c r="F126">
        <v>5</v>
      </c>
      <c r="J126">
        <v>5</v>
      </c>
      <c r="N126">
        <v>5</v>
      </c>
      <c r="Y126">
        <v>5</v>
      </c>
      <c r="Z126">
        <f>((C126*$U$7)-(D126*$U$6))/(($U$7*$U$4)-($U$6*$U$5))</f>
        <v>0</v>
      </c>
      <c r="AA126">
        <f>((D126*$U$4)-(C126*$U$5))/(($U$7*$U$4)-($U$6*$U$5))</f>
        <v>0</v>
      </c>
      <c r="AC126">
        <f>((G126*$U$7)-(H126*$U$6))/(($U$7*$U$4)-($U$6*$U$5))</f>
        <v>0</v>
      </c>
      <c r="AD126">
        <f>((H126*$U$4)-(G126*$U$5))/(($U$7*$U$4)-($U$6*$U$5))</f>
        <v>0</v>
      </c>
      <c r="AF126">
        <f>((K126*$U$7)-(L126*$U$6))/(($U$7*$U$4)-($U$6*$U$5))</f>
        <v>0</v>
      </c>
      <c r="AG126">
        <f>((L126*$U$4)-(K126*$U$5))/(($U$7*$U$4)-($U$6*$U$5))</f>
        <v>0</v>
      </c>
    </row>
    <row r="127" spans="1:33" x14ac:dyDescent="0.25">
      <c r="A127">
        <v>20</v>
      </c>
      <c r="B127">
        <f t="shared" ref="B127:B137" si="207">A127*60</f>
        <v>1200</v>
      </c>
      <c r="C127">
        <v>4.2700000000000002E-2</v>
      </c>
      <c r="D127">
        <v>6.6E-3</v>
      </c>
      <c r="F127">
        <v>20</v>
      </c>
      <c r="J127">
        <v>20</v>
      </c>
      <c r="N127">
        <v>15</v>
      </c>
      <c r="Y127">
        <v>20</v>
      </c>
      <c r="Z127">
        <f t="shared" ref="Z127:Z137" si="208">((C127*$U$7)-(D127*$U$6))/(($U$7*$U$4)-($U$6*$U$5))</f>
        <v>9.2533015313093624E-6</v>
      </c>
      <c r="AA127">
        <f t="shared" ref="AA127:AA137" si="209">((D127*$U$4)-(C127*$U$5))/(($U$7*$U$4)-($U$6*$U$5))</f>
        <v>8.5419377750673957E-7</v>
      </c>
      <c r="AC127">
        <f t="shared" ref="AC127:AC137" si="210">((G127*$U$7)-(H127*$U$6))/(($U$7*$U$4)-($U$6*$U$5))</f>
        <v>0</v>
      </c>
      <c r="AD127">
        <f t="shared" ref="AD127:AD137" si="211">((H127*$U$4)-(G127*$U$5))/(($U$7*$U$4)-($U$6*$U$5))</f>
        <v>0</v>
      </c>
      <c r="AF127">
        <f t="shared" ref="AF127:AF137" si="212">((K127*$U$7)-(L127*$U$6))/(($U$7*$U$4)-($U$6*$U$5))</f>
        <v>0</v>
      </c>
      <c r="AG127">
        <f t="shared" ref="AG127:AG137" si="213">((L127*$U$4)-(K127*$U$5))/(($U$7*$U$4)-($U$6*$U$5))</f>
        <v>0</v>
      </c>
    </row>
    <row r="128" spans="1:33" x14ac:dyDescent="0.25">
      <c r="A128">
        <v>30</v>
      </c>
      <c r="B128">
        <f t="shared" si="207"/>
        <v>1800</v>
      </c>
      <c r="C128">
        <v>5.1900000000000002E-2</v>
      </c>
      <c r="D128">
        <v>7.4000000000000003E-3</v>
      </c>
      <c r="F128">
        <v>30</v>
      </c>
      <c r="J128">
        <v>30</v>
      </c>
      <c r="N128">
        <v>30</v>
      </c>
      <c r="Y128">
        <v>30</v>
      </c>
      <c r="Z128">
        <f t="shared" si="208"/>
        <v>1.1479852656723838E-5</v>
      </c>
      <c r="AA128">
        <f t="shared" si="209"/>
        <v>9.3010894673979894E-7</v>
      </c>
      <c r="AC128">
        <f t="shared" si="210"/>
        <v>0</v>
      </c>
      <c r="AD128">
        <f t="shared" si="211"/>
        <v>0</v>
      </c>
      <c r="AF128">
        <f t="shared" si="212"/>
        <v>0</v>
      </c>
      <c r="AG128">
        <f t="shared" si="213"/>
        <v>0</v>
      </c>
    </row>
    <row r="129" spans="1:33" x14ac:dyDescent="0.25">
      <c r="A129">
        <v>60</v>
      </c>
      <c r="B129">
        <f t="shared" si="207"/>
        <v>3600</v>
      </c>
      <c r="C129">
        <v>8.3099999999999993E-2</v>
      </c>
      <c r="D129">
        <v>1.29E-2</v>
      </c>
      <c r="F129">
        <v>60</v>
      </c>
      <c r="J129">
        <v>60</v>
      </c>
      <c r="N129">
        <v>60</v>
      </c>
      <c r="Y129">
        <v>60</v>
      </c>
      <c r="Z129">
        <f t="shared" si="208"/>
        <v>1.7987402626773958E-5</v>
      </c>
      <c r="AA129">
        <f t="shared" si="209"/>
        <v>1.6720254606464406E-6</v>
      </c>
      <c r="AC129">
        <f t="shared" si="210"/>
        <v>0</v>
      </c>
      <c r="AD129">
        <f t="shared" si="211"/>
        <v>0</v>
      </c>
      <c r="AF129">
        <f t="shared" si="212"/>
        <v>0</v>
      </c>
      <c r="AG129">
        <f t="shared" si="213"/>
        <v>0</v>
      </c>
    </row>
    <row r="130" spans="1:33" x14ac:dyDescent="0.25">
      <c r="A130">
        <v>90</v>
      </c>
      <c r="B130">
        <f t="shared" si="207"/>
        <v>5400</v>
      </c>
      <c r="C130">
        <v>0.11260000000000001</v>
      </c>
      <c r="D130">
        <v>1.77E-2</v>
      </c>
      <c r="F130">
        <v>90</v>
      </c>
      <c r="J130">
        <v>90</v>
      </c>
      <c r="N130">
        <v>90</v>
      </c>
      <c r="Y130">
        <v>90</v>
      </c>
      <c r="Z130">
        <f t="shared" si="208"/>
        <v>2.4290243927111612E-5</v>
      </c>
      <c r="AA130">
        <f t="shared" si="209"/>
        <v>2.3039281123485253E-6</v>
      </c>
      <c r="AC130">
        <f t="shared" si="210"/>
        <v>0</v>
      </c>
      <c r="AD130">
        <f t="shared" si="211"/>
        <v>0</v>
      </c>
      <c r="AF130">
        <f t="shared" si="212"/>
        <v>0</v>
      </c>
      <c r="AG130">
        <f t="shared" si="213"/>
        <v>0</v>
      </c>
    </row>
    <row r="131" spans="1:33" x14ac:dyDescent="0.25">
      <c r="A131">
        <v>120</v>
      </c>
      <c r="B131">
        <f t="shared" si="207"/>
        <v>7200</v>
      </c>
      <c r="C131">
        <v>0.14560000000000001</v>
      </c>
      <c r="D131">
        <v>2.4899999999999999E-2</v>
      </c>
      <c r="F131">
        <v>120</v>
      </c>
      <c r="J131">
        <v>120</v>
      </c>
      <c r="N131">
        <v>120</v>
      </c>
      <c r="Y131">
        <v>120</v>
      </c>
      <c r="Z131">
        <f t="shared" si="208"/>
        <v>3.0655586175801803E-5</v>
      </c>
      <c r="AA131">
        <f t="shared" si="209"/>
        <v>3.3290050824470608E-6</v>
      </c>
      <c r="AC131">
        <f t="shared" si="210"/>
        <v>0</v>
      </c>
      <c r="AD131">
        <f t="shared" si="211"/>
        <v>0</v>
      </c>
      <c r="AF131">
        <f t="shared" si="212"/>
        <v>0</v>
      </c>
      <c r="AG131">
        <f t="shared" si="213"/>
        <v>0</v>
      </c>
    </row>
    <row r="132" spans="1:33" x14ac:dyDescent="0.25">
      <c r="A132">
        <v>150</v>
      </c>
      <c r="B132">
        <f t="shared" si="207"/>
        <v>9000</v>
      </c>
      <c r="C132">
        <v>0.17780000000000001</v>
      </c>
      <c r="D132">
        <v>3.2599999999999997E-2</v>
      </c>
      <c r="F132">
        <v>150</v>
      </c>
      <c r="J132">
        <v>150</v>
      </c>
      <c r="N132">
        <v>150</v>
      </c>
      <c r="Y132">
        <v>150</v>
      </c>
      <c r="Z132">
        <f t="shared" si="208"/>
        <v>3.6614085184818562E-5</v>
      </c>
      <c r="AA132">
        <f t="shared" si="209"/>
        <v>4.4464899756426942E-6</v>
      </c>
      <c r="AC132">
        <f t="shared" si="210"/>
        <v>0</v>
      </c>
      <c r="AD132">
        <f t="shared" si="211"/>
        <v>0</v>
      </c>
      <c r="AF132">
        <f t="shared" si="212"/>
        <v>0</v>
      </c>
      <c r="AG132">
        <f t="shared" si="213"/>
        <v>0</v>
      </c>
    </row>
    <row r="133" spans="1:33" x14ac:dyDescent="0.25">
      <c r="A133">
        <v>180</v>
      </c>
      <c r="B133">
        <f t="shared" si="207"/>
        <v>10800</v>
      </c>
      <c r="C133">
        <v>0.20349999999999999</v>
      </c>
      <c r="D133">
        <v>3.7999999999999999E-2</v>
      </c>
      <c r="F133">
        <v>180</v>
      </c>
      <c r="J133">
        <v>180</v>
      </c>
      <c r="N133">
        <v>180</v>
      </c>
      <c r="Y133">
        <v>180</v>
      </c>
      <c r="Z133">
        <f t="shared" si="208"/>
        <v>4.1648933979489571E-5</v>
      </c>
      <c r="AA133">
        <f t="shared" si="209"/>
        <v>5.2087766505127614E-6</v>
      </c>
      <c r="AC133">
        <f t="shared" si="210"/>
        <v>0</v>
      </c>
      <c r="AD133">
        <f t="shared" si="211"/>
        <v>0</v>
      </c>
      <c r="AF133">
        <f t="shared" si="212"/>
        <v>0</v>
      </c>
      <c r="AG133">
        <f t="shared" si="213"/>
        <v>0</v>
      </c>
    </row>
    <row r="134" spans="1:33" x14ac:dyDescent="0.25">
      <c r="A134">
        <v>210</v>
      </c>
      <c r="B134">
        <f t="shared" si="207"/>
        <v>12600</v>
      </c>
      <c r="C134">
        <v>0.2276</v>
      </c>
      <c r="D134">
        <v>4.36E-2</v>
      </c>
      <c r="F134">
        <v>210</v>
      </c>
      <c r="J134">
        <v>210</v>
      </c>
      <c r="N134">
        <v>210</v>
      </c>
      <c r="Y134">
        <v>210</v>
      </c>
      <c r="Z134">
        <f t="shared" si="208"/>
        <v>4.6169595058884564E-5</v>
      </c>
      <c r="AA134">
        <f t="shared" si="209"/>
        <v>6.0168127551068341E-6</v>
      </c>
      <c r="AC134">
        <f t="shared" si="210"/>
        <v>0</v>
      </c>
      <c r="AD134">
        <f t="shared" si="211"/>
        <v>0</v>
      </c>
      <c r="AF134">
        <f t="shared" si="212"/>
        <v>0</v>
      </c>
      <c r="AG134">
        <f t="shared" si="213"/>
        <v>0</v>
      </c>
    </row>
    <row r="135" spans="1:33" x14ac:dyDescent="0.25">
      <c r="A135">
        <v>240</v>
      </c>
      <c r="B135">
        <f t="shared" si="207"/>
        <v>14400</v>
      </c>
      <c r="C135">
        <v>0.24879999999999999</v>
      </c>
      <c r="D135">
        <v>4.8599999999999997E-2</v>
      </c>
      <c r="F135">
        <v>240</v>
      </c>
      <c r="J135">
        <v>240</v>
      </c>
      <c r="N135">
        <v>240</v>
      </c>
      <c r="Y135">
        <v>240</v>
      </c>
      <c r="Z135">
        <f t="shared" si="208"/>
        <v>5.0118625354864487E-5</v>
      </c>
      <c r="AA135">
        <f t="shared" si="209"/>
        <v>6.7404554187599664E-6</v>
      </c>
      <c r="AC135">
        <f t="shared" si="210"/>
        <v>0</v>
      </c>
      <c r="AD135">
        <f t="shared" si="211"/>
        <v>0</v>
      </c>
      <c r="AF135">
        <f t="shared" si="212"/>
        <v>0</v>
      </c>
      <c r="AG135">
        <f t="shared" si="213"/>
        <v>0</v>
      </c>
    </row>
    <row r="136" spans="1:33" x14ac:dyDescent="0.25">
      <c r="A136">
        <v>270</v>
      </c>
      <c r="B136">
        <f t="shared" si="207"/>
        <v>16200</v>
      </c>
      <c r="C136">
        <v>0.26879999999999998</v>
      </c>
      <c r="D136">
        <v>5.4800000000000001E-2</v>
      </c>
      <c r="F136">
        <v>270</v>
      </c>
      <c r="J136">
        <v>270</v>
      </c>
      <c r="N136">
        <v>270</v>
      </c>
      <c r="Y136">
        <v>270</v>
      </c>
      <c r="Z136">
        <f t="shared" si="208"/>
        <v>5.3288922736544402E-5</v>
      </c>
      <c r="AA136">
        <f t="shared" si="209"/>
        <v>7.6809348263232332E-6</v>
      </c>
      <c r="AC136">
        <f t="shared" si="210"/>
        <v>0</v>
      </c>
      <c r="AD136">
        <f t="shared" si="211"/>
        <v>0</v>
      </c>
      <c r="AF136">
        <f t="shared" si="212"/>
        <v>0</v>
      </c>
      <c r="AG136">
        <f t="shared" si="213"/>
        <v>0</v>
      </c>
    </row>
    <row r="137" spans="1:33" x14ac:dyDescent="0.25">
      <c r="A137">
        <v>300</v>
      </c>
      <c r="B137">
        <f t="shared" si="207"/>
        <v>18000</v>
      </c>
      <c r="C137">
        <v>0.2858</v>
      </c>
      <c r="D137">
        <v>0.06</v>
      </c>
      <c r="F137">
        <v>300</v>
      </c>
      <c r="J137">
        <v>300</v>
      </c>
      <c r="N137">
        <v>300</v>
      </c>
      <c r="Y137">
        <v>300</v>
      </c>
      <c r="Z137">
        <f t="shared" si="208"/>
        <v>5.6009881652828555E-5</v>
      </c>
      <c r="AA137">
        <f t="shared" si="209"/>
        <v>8.4681740113108648E-6</v>
      </c>
      <c r="AC137">
        <f t="shared" si="210"/>
        <v>0</v>
      </c>
      <c r="AD137">
        <f t="shared" si="211"/>
        <v>0</v>
      </c>
      <c r="AF137">
        <f t="shared" si="212"/>
        <v>0</v>
      </c>
      <c r="AG137">
        <f t="shared" si="213"/>
        <v>0</v>
      </c>
    </row>
    <row r="139" spans="1:33" x14ac:dyDescent="0.25">
      <c r="A139" s="14" t="s">
        <v>56</v>
      </c>
      <c r="B139" s="14"/>
      <c r="C139" s="14"/>
      <c r="D139" s="14"/>
      <c r="F139" s="14" t="s">
        <v>61</v>
      </c>
      <c r="G139" s="14"/>
      <c r="H139" s="14"/>
      <c r="J139" s="14" t="s">
        <v>57</v>
      </c>
      <c r="K139" s="14"/>
      <c r="L139" s="14"/>
      <c r="N139" s="15" t="s">
        <v>66</v>
      </c>
      <c r="O139" s="15"/>
      <c r="P139" s="15"/>
    </row>
    <row r="140" spans="1:33" x14ac:dyDescent="0.25">
      <c r="A140" t="s">
        <v>0</v>
      </c>
      <c r="C140" t="s">
        <v>1</v>
      </c>
      <c r="D140" t="s">
        <v>2</v>
      </c>
      <c r="F140" t="s">
        <v>0</v>
      </c>
      <c r="G140" t="s">
        <v>1</v>
      </c>
      <c r="H140" t="s">
        <v>2</v>
      </c>
      <c r="J140" t="s">
        <v>0</v>
      </c>
      <c r="K140" t="s">
        <v>1</v>
      </c>
      <c r="L140" t="s">
        <v>2</v>
      </c>
      <c r="N140" t="s">
        <v>0</v>
      </c>
      <c r="O140" t="s">
        <v>1</v>
      </c>
      <c r="P140" t="s">
        <v>2</v>
      </c>
    </row>
    <row r="141" spans="1:33" x14ac:dyDescent="0.25">
      <c r="A141">
        <v>5</v>
      </c>
      <c r="B141">
        <f>A141*60</f>
        <v>300</v>
      </c>
      <c r="C141">
        <v>1.8700000000000001E-2</v>
      </c>
      <c r="D141">
        <v>3.5000000000000001E-3</v>
      </c>
      <c r="F141">
        <v>5</v>
      </c>
      <c r="J141">
        <v>5</v>
      </c>
      <c r="N141">
        <v>5</v>
      </c>
      <c r="Y141">
        <v>5</v>
      </c>
      <c r="Z141">
        <f>((C141*$U$7)-(D141*$U$6))/(($U$7*$U$4)-($U$6*$U$5))</f>
        <v>3.8241638782091352E-6</v>
      </c>
      <c r="AA141">
        <f>((D141*$U$4)-(C141*$U$5))/(($U$7*$U$4)-($U$6*$U$5))</f>
        <v>4.8005379778161381E-7</v>
      </c>
      <c r="AC141">
        <f>((G141*$U$7)-(H141*$U$6))/(($U$7*$U$4)-($U$6*$U$5))</f>
        <v>0</v>
      </c>
      <c r="AD141">
        <f>((H141*$U$4)-(G141*$U$5))/(($U$7*$U$4)-($U$6*$U$5))</f>
        <v>0</v>
      </c>
      <c r="AF141">
        <f>((K141*$U$7)-(L141*$U$6))/(($U$7*$U$4)-($U$6*$U$5))</f>
        <v>0</v>
      </c>
      <c r="AG141">
        <f>((L141*$U$4)-(K141*$U$5))/(($U$7*$U$4)-($U$6*$U$5))</f>
        <v>0</v>
      </c>
    </row>
    <row r="142" spans="1:33" x14ac:dyDescent="0.25">
      <c r="A142">
        <v>15</v>
      </c>
      <c r="B142">
        <f t="shared" ref="B142:B152" si="214">A142*60</f>
        <v>900</v>
      </c>
      <c r="C142">
        <v>3.3700000000000001E-2</v>
      </c>
      <c r="D142">
        <v>5.4999999999999997E-3</v>
      </c>
      <c r="F142">
        <v>15</v>
      </c>
      <c r="J142">
        <v>15</v>
      </c>
      <c r="N142">
        <v>15</v>
      </c>
      <c r="Y142">
        <v>15</v>
      </c>
      <c r="Z142">
        <f t="shared" ref="Z142:Z152" si="215">((C142*$U$7)-(D142*$U$6))/(($U$7*$U$4)-($U$6*$U$5))</f>
        <v>7.1939765704537433E-6</v>
      </c>
      <c r="AA142">
        <f t="shared" ref="AA142:AA152" si="216">((D142*$U$4)-(C142*$U$5))/(($U$7*$U$4)-($U$6*$U$5))</f>
        <v>7.247558488965513E-7</v>
      </c>
      <c r="AC142">
        <f t="shared" ref="AC142:AC152" si="217">((G142*$U$7)-(H142*$U$6))/(($U$7*$U$4)-($U$6*$U$5))</f>
        <v>0</v>
      </c>
      <c r="AD142">
        <f t="shared" ref="AD142:AD152" si="218">((H142*$U$4)-(G142*$U$5))/(($U$7*$U$4)-($U$6*$U$5))</f>
        <v>0</v>
      </c>
      <c r="AF142">
        <f t="shared" ref="AF142:AF152" si="219">((K142*$U$7)-(L142*$U$6))/(($U$7*$U$4)-($U$6*$U$5))</f>
        <v>0</v>
      </c>
      <c r="AG142">
        <f t="shared" ref="AG142:AG152" si="220">((L142*$U$4)-(K142*$U$5))/(($U$7*$U$4)-($U$6*$U$5))</f>
        <v>0</v>
      </c>
    </row>
    <row r="143" spans="1:33" x14ac:dyDescent="0.25">
      <c r="A143">
        <v>30</v>
      </c>
      <c r="B143">
        <f t="shared" si="214"/>
        <v>1800</v>
      </c>
      <c r="C143">
        <v>5.3100000000000001E-2</v>
      </c>
      <c r="D143">
        <v>8.8999999999999999E-3</v>
      </c>
      <c r="F143">
        <v>30</v>
      </c>
      <c r="J143">
        <v>30</v>
      </c>
      <c r="N143">
        <v>30</v>
      </c>
      <c r="Y143">
        <v>30</v>
      </c>
      <c r="Z143">
        <f t="shared" si="215"/>
        <v>1.1247777242284747E-5</v>
      </c>
      <c r="AA143">
        <f t="shared" si="216"/>
        <v>1.1826213584165654E-6</v>
      </c>
      <c r="AC143">
        <f t="shared" si="217"/>
        <v>0</v>
      </c>
      <c r="AD143">
        <f t="shared" si="218"/>
        <v>0</v>
      </c>
      <c r="AF143">
        <f t="shared" si="219"/>
        <v>0</v>
      </c>
      <c r="AG143">
        <f t="shared" si="220"/>
        <v>0</v>
      </c>
    </row>
    <row r="144" spans="1:33" x14ac:dyDescent="0.25">
      <c r="A144">
        <v>60</v>
      </c>
      <c r="B144">
        <f t="shared" si="214"/>
        <v>3600</v>
      </c>
      <c r="C144">
        <v>8.7300000000000003E-2</v>
      </c>
      <c r="D144">
        <v>1.5800000000000002E-2</v>
      </c>
      <c r="F144">
        <v>60</v>
      </c>
      <c r="J144">
        <v>60</v>
      </c>
      <c r="N144">
        <v>60</v>
      </c>
      <c r="Y144">
        <v>60</v>
      </c>
      <c r="Z144">
        <f t="shared" si="215"/>
        <v>1.805491629569524E-5</v>
      </c>
      <c r="AA144">
        <f t="shared" si="216"/>
        <v>2.1473113031339356E-6</v>
      </c>
      <c r="AC144">
        <f t="shared" si="217"/>
        <v>0</v>
      </c>
      <c r="AD144">
        <f t="shared" si="218"/>
        <v>0</v>
      </c>
      <c r="AF144">
        <f t="shared" si="219"/>
        <v>0</v>
      </c>
      <c r="AG144">
        <f t="shared" si="220"/>
        <v>0</v>
      </c>
    </row>
    <row r="145" spans="1:33" x14ac:dyDescent="0.25">
      <c r="A145">
        <v>90</v>
      </c>
      <c r="B145">
        <f t="shared" si="214"/>
        <v>5400</v>
      </c>
      <c r="C145">
        <v>0.1177</v>
      </c>
      <c r="D145">
        <v>2.2499999999999999E-2</v>
      </c>
      <c r="F145">
        <v>90</v>
      </c>
      <c r="J145">
        <v>90</v>
      </c>
      <c r="N145">
        <v>90</v>
      </c>
      <c r="Y145">
        <v>90</v>
      </c>
      <c r="Z145">
        <f t="shared" si="215"/>
        <v>2.3893561607509941E-5</v>
      </c>
      <c r="AA145">
        <f t="shared" si="216"/>
        <v>3.1033188545490938E-6</v>
      </c>
      <c r="AC145">
        <f t="shared" si="217"/>
        <v>0</v>
      </c>
      <c r="AD145">
        <f t="shared" si="218"/>
        <v>0</v>
      </c>
      <c r="AF145">
        <f t="shared" si="219"/>
        <v>0</v>
      </c>
      <c r="AG145">
        <f t="shared" si="220"/>
        <v>0</v>
      </c>
    </row>
    <row r="146" spans="1:33" x14ac:dyDescent="0.25">
      <c r="A146">
        <v>120</v>
      </c>
      <c r="B146">
        <f t="shared" si="214"/>
        <v>7200</v>
      </c>
      <c r="C146">
        <v>0.1489</v>
      </c>
      <c r="D146">
        <v>2.9700000000000001E-2</v>
      </c>
      <c r="F146">
        <v>120</v>
      </c>
      <c r="J146">
        <v>120</v>
      </c>
      <c r="N146">
        <v>120</v>
      </c>
      <c r="Y146">
        <v>120</v>
      </c>
      <c r="Z146">
        <f t="shared" si="215"/>
        <v>2.9764676703909527E-5</v>
      </c>
      <c r="AA146">
        <f t="shared" si="216"/>
        <v>4.1407515034548933E-6</v>
      </c>
      <c r="AC146">
        <f t="shared" si="217"/>
        <v>0</v>
      </c>
      <c r="AD146">
        <f t="shared" si="218"/>
        <v>0</v>
      </c>
      <c r="AF146">
        <f t="shared" si="219"/>
        <v>0</v>
      </c>
      <c r="AG146">
        <f t="shared" si="220"/>
        <v>0</v>
      </c>
    </row>
    <row r="147" spans="1:33" x14ac:dyDescent="0.25">
      <c r="A147">
        <v>150</v>
      </c>
      <c r="B147">
        <f t="shared" si="214"/>
        <v>9000</v>
      </c>
      <c r="C147">
        <v>0.17580000000000001</v>
      </c>
      <c r="D147">
        <v>3.5400000000000001E-2</v>
      </c>
      <c r="F147">
        <v>150</v>
      </c>
      <c r="J147">
        <v>150</v>
      </c>
      <c r="N147">
        <v>150</v>
      </c>
      <c r="Y147">
        <v>150</v>
      </c>
      <c r="Z147">
        <f t="shared" si="215"/>
        <v>3.5016698230247713E-5</v>
      </c>
      <c r="AA147">
        <f t="shared" si="216"/>
        <v>4.9469509652964388E-6</v>
      </c>
      <c r="AC147">
        <f t="shared" si="217"/>
        <v>0</v>
      </c>
      <c r="AD147">
        <f t="shared" si="218"/>
        <v>0</v>
      </c>
      <c r="AF147">
        <f t="shared" si="219"/>
        <v>0</v>
      </c>
      <c r="AG147">
        <f t="shared" si="220"/>
        <v>0</v>
      </c>
    </row>
    <row r="148" spans="1:33" x14ac:dyDescent="0.25">
      <c r="A148">
        <v>180</v>
      </c>
      <c r="B148">
        <f t="shared" si="214"/>
        <v>10800</v>
      </c>
      <c r="C148">
        <v>0.20200000000000001</v>
      </c>
      <c r="D148">
        <v>4.24E-2</v>
      </c>
      <c r="F148">
        <v>180</v>
      </c>
      <c r="J148">
        <v>180</v>
      </c>
      <c r="N148">
        <v>180</v>
      </c>
      <c r="Y148">
        <v>180</v>
      </c>
      <c r="Z148">
        <f t="shared" si="215"/>
        <v>3.9589834816857776E-5</v>
      </c>
      <c r="AA148">
        <f t="shared" si="216"/>
        <v>5.9839383401048713E-6</v>
      </c>
      <c r="AC148">
        <f t="shared" si="217"/>
        <v>0</v>
      </c>
      <c r="AD148">
        <f t="shared" si="218"/>
        <v>0</v>
      </c>
      <c r="AF148">
        <f t="shared" si="219"/>
        <v>0</v>
      </c>
      <c r="AG148">
        <f t="shared" si="220"/>
        <v>0</v>
      </c>
    </row>
    <row r="149" spans="1:33" x14ac:dyDescent="0.25">
      <c r="A149">
        <v>210</v>
      </c>
      <c r="B149">
        <f t="shared" si="214"/>
        <v>12600</v>
      </c>
      <c r="C149">
        <v>0.2253</v>
      </c>
      <c r="D149">
        <v>4.9000000000000002E-2</v>
      </c>
      <c r="F149">
        <v>210</v>
      </c>
      <c r="J149">
        <v>210</v>
      </c>
      <c r="N149">
        <v>210</v>
      </c>
      <c r="Y149">
        <v>210</v>
      </c>
      <c r="Z149">
        <f t="shared" si="215"/>
        <v>4.3516465929035054E-5</v>
      </c>
      <c r="AA149">
        <f t="shared" si="216"/>
        <v>6.9712988780899134E-6</v>
      </c>
      <c r="AC149">
        <f t="shared" si="217"/>
        <v>0</v>
      </c>
      <c r="AD149">
        <f t="shared" si="218"/>
        <v>0</v>
      </c>
      <c r="AF149">
        <f t="shared" si="219"/>
        <v>0</v>
      </c>
      <c r="AG149">
        <f t="shared" si="220"/>
        <v>0</v>
      </c>
    </row>
    <row r="150" spans="1:33" x14ac:dyDescent="0.25">
      <c r="A150">
        <v>240</v>
      </c>
      <c r="B150">
        <f t="shared" si="214"/>
        <v>14400</v>
      </c>
      <c r="C150">
        <v>0.24840000000000001</v>
      </c>
      <c r="D150">
        <v>5.5599999999999997E-2</v>
      </c>
      <c r="F150">
        <v>240</v>
      </c>
      <c r="J150">
        <v>240</v>
      </c>
      <c r="N150">
        <v>240</v>
      </c>
      <c r="Y150">
        <v>240</v>
      </c>
      <c r="Z150">
        <f t="shared" si="215"/>
        <v>4.7388182913180046E-5</v>
      </c>
      <c r="AA150">
        <f t="shared" si="216"/>
        <v>7.960032269275761E-6</v>
      </c>
      <c r="AC150">
        <f t="shared" si="217"/>
        <v>0</v>
      </c>
      <c r="AD150">
        <f t="shared" si="218"/>
        <v>0</v>
      </c>
      <c r="AF150">
        <f t="shared" si="219"/>
        <v>0</v>
      </c>
      <c r="AG150">
        <f t="shared" si="220"/>
        <v>0</v>
      </c>
    </row>
    <row r="151" spans="1:33" x14ac:dyDescent="0.25">
      <c r="A151">
        <v>270</v>
      </c>
      <c r="B151">
        <f t="shared" si="214"/>
        <v>16200</v>
      </c>
      <c r="C151">
        <v>0.27329999999999999</v>
      </c>
      <c r="D151">
        <v>6.4299999999999996E-2</v>
      </c>
      <c r="F151">
        <v>270</v>
      </c>
      <c r="J151">
        <v>270</v>
      </c>
      <c r="N151">
        <v>270</v>
      </c>
      <c r="Y151">
        <v>270</v>
      </c>
      <c r="Z151">
        <f t="shared" si="215"/>
        <v>5.0967942793929686E-5</v>
      </c>
      <c r="AA151">
        <f t="shared" si="216"/>
        <v>9.3014593248885994E-6</v>
      </c>
      <c r="AC151">
        <f t="shared" si="217"/>
        <v>0</v>
      </c>
      <c r="AD151">
        <f t="shared" si="218"/>
        <v>0</v>
      </c>
      <c r="AF151">
        <f t="shared" si="219"/>
        <v>0</v>
      </c>
      <c r="AG151">
        <f t="shared" si="220"/>
        <v>0</v>
      </c>
    </row>
    <row r="152" spans="1:33" x14ac:dyDescent="0.25">
      <c r="A152">
        <v>300</v>
      </c>
      <c r="B152">
        <f t="shared" si="214"/>
        <v>18000</v>
      </c>
      <c r="C152">
        <v>0.28689999999999999</v>
      </c>
      <c r="D152">
        <v>6.8000000000000005E-2</v>
      </c>
      <c r="F152">
        <v>300</v>
      </c>
      <c r="J152">
        <v>300</v>
      </c>
      <c r="N152">
        <v>300</v>
      </c>
      <c r="Y152">
        <v>300</v>
      </c>
      <c r="Z152">
        <f t="shared" si="215"/>
        <v>5.331692171629771E-5</v>
      </c>
      <c r="AA152">
        <f t="shared" si="216"/>
        <v>9.8512874834083483E-6</v>
      </c>
      <c r="AC152">
        <f t="shared" si="217"/>
        <v>0</v>
      </c>
      <c r="AD152">
        <f t="shared" si="218"/>
        <v>0</v>
      </c>
      <c r="AF152">
        <f t="shared" si="219"/>
        <v>0</v>
      </c>
      <c r="AG152">
        <f t="shared" si="220"/>
        <v>0</v>
      </c>
    </row>
    <row r="154" spans="1:33" x14ac:dyDescent="0.25">
      <c r="A154" s="14" t="s">
        <v>58</v>
      </c>
      <c r="B154" s="14"/>
      <c r="C154" s="14"/>
      <c r="D154" s="14"/>
      <c r="F154" s="14" t="s">
        <v>59</v>
      </c>
      <c r="G154" s="14"/>
      <c r="H154" s="14"/>
      <c r="J154" s="14" t="s">
        <v>60</v>
      </c>
      <c r="K154" s="14"/>
      <c r="L154" s="14"/>
      <c r="N154" s="15" t="s">
        <v>67</v>
      </c>
      <c r="O154" s="15"/>
      <c r="P154" s="15"/>
    </row>
    <row r="155" spans="1:33" x14ac:dyDescent="0.25">
      <c r="A155" t="s">
        <v>0</v>
      </c>
      <c r="C155" t="s">
        <v>1</v>
      </c>
      <c r="D155" t="s">
        <v>2</v>
      </c>
      <c r="F155" t="s">
        <v>0</v>
      </c>
      <c r="G155" t="s">
        <v>1</v>
      </c>
      <c r="H155" t="s">
        <v>2</v>
      </c>
      <c r="J155" t="s">
        <v>0</v>
      </c>
      <c r="K155" t="s">
        <v>1</v>
      </c>
      <c r="L155" t="s">
        <v>2</v>
      </c>
      <c r="N155" t="s">
        <v>0</v>
      </c>
      <c r="O155" t="s">
        <v>1</v>
      </c>
      <c r="P155" t="s">
        <v>2</v>
      </c>
    </row>
    <row r="156" spans="1:33" x14ac:dyDescent="0.25">
      <c r="A156">
        <v>5</v>
      </c>
      <c r="B156">
        <f>A156*60</f>
        <v>300</v>
      </c>
      <c r="C156">
        <v>1.95E-2</v>
      </c>
      <c r="D156">
        <v>3.8999999999999998E-3</v>
      </c>
      <c r="F156">
        <v>5</v>
      </c>
      <c r="J156">
        <v>5</v>
      </c>
      <c r="N156">
        <v>5</v>
      </c>
      <c r="R156" t="s">
        <v>63</v>
      </c>
      <c r="Y156">
        <v>5</v>
      </c>
      <c r="Z156">
        <f>((C156*$U$7)-(D156*$U$6))/(($U$7*$U$4)-($U$6*$U$5))</f>
        <v>3.8940710083028723E-6</v>
      </c>
      <c r="AA156">
        <f>((D156*$U$4)-(C156*$U$5))/(($U$7*$U$4)-($U$6*$U$5))</f>
        <v>5.440955932134809E-7</v>
      </c>
      <c r="AC156">
        <f>((G156*$U$7)-(H156*$U$6))/(($U$7*$U$4)-($U$6*$U$5))</f>
        <v>0</v>
      </c>
      <c r="AD156">
        <f>((H156*$U$4)-(G156*$U$5))/(($U$7*$U$4)-($U$6*$U$5))</f>
        <v>0</v>
      </c>
      <c r="AF156">
        <f>((K156*$U$7)-(L156*$U$6))/(($U$7*$U$4)-($U$6*$U$5))</f>
        <v>0</v>
      </c>
      <c r="AG156">
        <f>((L156*$U$4)-(K156*$U$5))/(($U$7*$U$4)-($U$6*$U$5))</f>
        <v>0</v>
      </c>
    </row>
    <row r="157" spans="1:33" x14ac:dyDescent="0.25">
      <c r="A157">
        <v>15</v>
      </c>
      <c r="B157">
        <f t="shared" ref="B157:B167" si="221">A157*60</f>
        <v>900</v>
      </c>
      <c r="C157">
        <v>3.3399999999999999E-2</v>
      </c>
      <c r="D157">
        <v>3.5000000000000001E-3</v>
      </c>
      <c r="E157" t="s">
        <v>62</v>
      </c>
      <c r="F157">
        <v>15</v>
      </c>
      <c r="J157">
        <v>15</v>
      </c>
      <c r="N157">
        <v>15</v>
      </c>
      <c r="Y157">
        <v>15</v>
      </c>
      <c r="Z157">
        <f t="shared" ref="Z157:Z167" si="222">((C157*$U$7)-(D157*$U$6))/(($U$7*$U$4)-($U$6*$U$5))</f>
        <v>7.8603522885824147E-6</v>
      </c>
      <c r="AA157">
        <f t="shared" ref="AA157:AA167" si="223">((D157*$U$4)-(C157*$U$5))/(($U$7*$U$4)-($U$6*$U$5))</f>
        <v>3.7914908752228192E-7</v>
      </c>
      <c r="AC157">
        <f t="shared" ref="AC157:AC167" si="224">((G157*$U$7)-(H157*$U$6))/(($U$7*$U$4)-($U$6*$U$5))</f>
        <v>0</v>
      </c>
      <c r="AD157">
        <f t="shared" ref="AD157:AD167" si="225">((H157*$U$4)-(G157*$U$5))/(($U$7*$U$4)-($U$6*$U$5))</f>
        <v>0</v>
      </c>
      <c r="AF157">
        <f t="shared" ref="AF157:AF167" si="226">((K157*$U$7)-(L157*$U$6))/(($U$7*$U$4)-($U$6*$U$5))</f>
        <v>0</v>
      </c>
      <c r="AG157">
        <f t="shared" ref="AG157:AG167" si="227">((L157*$U$4)-(K157*$U$5))/(($U$7*$U$4)-($U$6*$U$5))</f>
        <v>0</v>
      </c>
    </row>
    <row r="158" spans="1:33" x14ac:dyDescent="0.25">
      <c r="A158">
        <v>30</v>
      </c>
      <c r="B158">
        <f t="shared" si="221"/>
        <v>1800</v>
      </c>
      <c r="C158">
        <v>5.5800000000000002E-2</v>
      </c>
      <c r="D158">
        <v>1.01E-2</v>
      </c>
      <c r="F158">
        <v>30</v>
      </c>
      <c r="J158">
        <v>30</v>
      </c>
      <c r="N158">
        <v>30</v>
      </c>
      <c r="Y158">
        <v>30</v>
      </c>
      <c r="Z158">
        <f t="shared" si="222"/>
        <v>1.1539869824614392E-5</v>
      </c>
      <c r="AA158">
        <f t="shared" si="223"/>
        <v>1.372687464910956E-6</v>
      </c>
      <c r="AC158">
        <f t="shared" si="224"/>
        <v>0</v>
      </c>
      <c r="AD158">
        <f t="shared" si="225"/>
        <v>0</v>
      </c>
      <c r="AF158">
        <f t="shared" si="226"/>
        <v>0</v>
      </c>
      <c r="AG158">
        <f t="shared" si="227"/>
        <v>0</v>
      </c>
    </row>
    <row r="159" spans="1:33" x14ac:dyDescent="0.25">
      <c r="A159">
        <v>60</v>
      </c>
      <c r="B159">
        <f t="shared" si="221"/>
        <v>3600</v>
      </c>
      <c r="C159">
        <v>8.7499999999999994E-2</v>
      </c>
      <c r="D159">
        <v>1.66E-2</v>
      </c>
      <c r="F159">
        <v>60</v>
      </c>
      <c r="J159">
        <v>60</v>
      </c>
      <c r="N159">
        <v>60</v>
      </c>
      <c r="Y159">
        <v>60</v>
      </c>
      <c r="Z159">
        <f t="shared" si="222"/>
        <v>1.7810331659656685E-5</v>
      </c>
      <c r="AA159">
        <f t="shared" si="223"/>
        <v>2.28500486640332E-6</v>
      </c>
      <c r="AC159">
        <f t="shared" si="224"/>
        <v>0</v>
      </c>
      <c r="AD159">
        <f t="shared" si="225"/>
        <v>0</v>
      </c>
      <c r="AF159">
        <f t="shared" si="226"/>
        <v>0</v>
      </c>
      <c r="AG159">
        <f t="shared" si="227"/>
        <v>0</v>
      </c>
    </row>
    <row r="160" spans="1:33" x14ac:dyDescent="0.25">
      <c r="A160">
        <v>90</v>
      </c>
      <c r="B160">
        <f t="shared" si="221"/>
        <v>5400</v>
      </c>
      <c r="C160">
        <v>0.1203</v>
      </c>
      <c r="D160">
        <v>2.41E-2</v>
      </c>
      <c r="F160">
        <v>90</v>
      </c>
      <c r="J160">
        <v>90</v>
      </c>
      <c r="N160">
        <v>90</v>
      </c>
      <c r="Y160">
        <v>90</v>
      </c>
      <c r="Z160">
        <f t="shared" si="222"/>
        <v>2.4008447743788021E-5</v>
      </c>
      <c r="AA160">
        <f t="shared" si="223"/>
        <v>3.3636045958789836E-6</v>
      </c>
      <c r="AC160">
        <f t="shared" si="224"/>
        <v>0</v>
      </c>
      <c r="AD160">
        <f t="shared" si="225"/>
        <v>0</v>
      </c>
      <c r="AF160">
        <f t="shared" si="226"/>
        <v>0</v>
      </c>
      <c r="AG160">
        <f t="shared" si="227"/>
        <v>0</v>
      </c>
    </row>
    <row r="161" spans="1:33" x14ac:dyDescent="0.25">
      <c r="A161">
        <v>120</v>
      </c>
      <c r="B161">
        <f t="shared" si="221"/>
        <v>7200</v>
      </c>
      <c r="C161">
        <v>0.15190000000000001</v>
      </c>
      <c r="D161">
        <v>3.2099999999999997E-2</v>
      </c>
      <c r="F161">
        <v>120</v>
      </c>
      <c r="J161">
        <v>120</v>
      </c>
      <c r="N161">
        <v>120</v>
      </c>
      <c r="Y161">
        <v>120</v>
      </c>
      <c r="Z161">
        <f t="shared" si="222"/>
        <v>2.9689892332181341E-5</v>
      </c>
      <c r="AA161">
        <f t="shared" si="223"/>
        <v>4.5373579548533608E-6</v>
      </c>
      <c r="AC161">
        <f t="shared" si="224"/>
        <v>0</v>
      </c>
      <c r="AD161">
        <f t="shared" si="225"/>
        <v>0</v>
      </c>
      <c r="AF161">
        <f t="shared" si="226"/>
        <v>0</v>
      </c>
      <c r="AG161">
        <f t="shared" si="227"/>
        <v>0</v>
      </c>
    </row>
    <row r="162" spans="1:33" x14ac:dyDescent="0.25">
      <c r="A162">
        <v>150</v>
      </c>
      <c r="B162">
        <f t="shared" si="221"/>
        <v>9000</v>
      </c>
      <c r="C162">
        <v>0.17760000000000001</v>
      </c>
      <c r="D162">
        <v>3.7999999999999999E-2</v>
      </c>
      <c r="F162">
        <v>150</v>
      </c>
      <c r="J162">
        <v>150</v>
      </c>
      <c r="N162">
        <v>150</v>
      </c>
      <c r="Y162">
        <v>150</v>
      </c>
      <c r="Z162">
        <f t="shared" si="222"/>
        <v>3.4537554399308083E-5</v>
      </c>
      <c r="AA162">
        <f t="shared" si="223"/>
        <v>5.3865611400172984E-6</v>
      </c>
      <c r="AC162">
        <f t="shared" si="224"/>
        <v>0</v>
      </c>
      <c r="AD162">
        <f t="shared" si="225"/>
        <v>0</v>
      </c>
      <c r="AF162">
        <f t="shared" si="226"/>
        <v>0</v>
      </c>
      <c r="AG162">
        <f t="shared" si="227"/>
        <v>0</v>
      </c>
    </row>
    <row r="163" spans="1:33" x14ac:dyDescent="0.25">
      <c r="A163">
        <v>180</v>
      </c>
      <c r="B163">
        <f t="shared" si="221"/>
        <v>10800</v>
      </c>
      <c r="C163">
        <v>0.2056</v>
      </c>
      <c r="D163">
        <v>4.6100000000000002E-2</v>
      </c>
      <c r="F163">
        <v>180</v>
      </c>
      <c r="J163">
        <v>180</v>
      </c>
      <c r="N163">
        <v>180</v>
      </c>
      <c r="Y163">
        <v>180</v>
      </c>
      <c r="Z163">
        <f t="shared" si="222"/>
        <v>3.9193107337611329E-5</v>
      </c>
      <c r="AA163">
        <f t="shared" si="223"/>
        <v>6.6024091586649794E-6</v>
      </c>
      <c r="AC163">
        <f t="shared" si="224"/>
        <v>0</v>
      </c>
      <c r="AD163">
        <f t="shared" si="225"/>
        <v>0</v>
      </c>
      <c r="AF163">
        <f t="shared" si="226"/>
        <v>0</v>
      </c>
      <c r="AG163">
        <f t="shared" si="227"/>
        <v>0</v>
      </c>
    </row>
    <row r="164" spans="1:33" x14ac:dyDescent="0.25">
      <c r="A164">
        <v>210</v>
      </c>
      <c r="B164">
        <f t="shared" si="221"/>
        <v>12600</v>
      </c>
      <c r="C164">
        <v>0.23100000000000001</v>
      </c>
      <c r="D164">
        <v>5.3400000000000003E-2</v>
      </c>
      <c r="F164">
        <v>210</v>
      </c>
      <c r="J164">
        <v>210</v>
      </c>
      <c r="N164">
        <v>210</v>
      </c>
      <c r="Y164">
        <v>210</v>
      </c>
      <c r="Z164">
        <f t="shared" si="222"/>
        <v>4.3434275375565671E-5</v>
      </c>
      <c r="AA164">
        <f t="shared" si="223"/>
        <v>7.6970378524529643E-6</v>
      </c>
      <c r="AC164">
        <f t="shared" si="224"/>
        <v>0</v>
      </c>
      <c r="AD164">
        <f t="shared" si="225"/>
        <v>0</v>
      </c>
      <c r="AF164">
        <f t="shared" si="226"/>
        <v>0</v>
      </c>
      <c r="AG164">
        <f t="shared" si="227"/>
        <v>0</v>
      </c>
    </row>
    <row r="165" spans="1:33" x14ac:dyDescent="0.25">
      <c r="A165">
        <v>240</v>
      </c>
      <c r="B165">
        <f t="shared" si="221"/>
        <v>14400</v>
      </c>
      <c r="C165">
        <v>0.25600000000000001</v>
      </c>
      <c r="D165">
        <v>6.1100000000000002E-2</v>
      </c>
      <c r="F165">
        <v>240</v>
      </c>
      <c r="J165">
        <v>240</v>
      </c>
      <c r="N165">
        <v>240</v>
      </c>
      <c r="Y165">
        <v>240</v>
      </c>
      <c r="Z165">
        <f t="shared" si="222"/>
        <v>4.7415865775420003E-5</v>
      </c>
      <c r="AA165">
        <f t="shared" si="223"/>
        <v>8.8639454608776584E-6</v>
      </c>
      <c r="AC165">
        <f t="shared" si="224"/>
        <v>0</v>
      </c>
      <c r="AD165">
        <f t="shared" si="225"/>
        <v>0</v>
      </c>
      <c r="AF165">
        <f t="shared" si="226"/>
        <v>0</v>
      </c>
      <c r="AG165">
        <f t="shared" si="227"/>
        <v>0</v>
      </c>
    </row>
    <row r="166" spans="1:33" x14ac:dyDescent="0.25">
      <c r="A166">
        <v>270</v>
      </c>
      <c r="B166">
        <f t="shared" si="221"/>
        <v>16200</v>
      </c>
      <c r="C166">
        <v>0.27560000000000001</v>
      </c>
      <c r="D166">
        <v>6.7199999999999996E-2</v>
      </c>
      <c r="F166">
        <v>270</v>
      </c>
      <c r="J166">
        <v>270</v>
      </c>
      <c r="N166">
        <v>270</v>
      </c>
      <c r="Y166">
        <v>270</v>
      </c>
      <c r="Z166">
        <f t="shared" si="222"/>
        <v>5.0513772246544214E-5</v>
      </c>
      <c r="AA166">
        <f t="shared" si="223"/>
        <v>9.7897872727837624E-6</v>
      </c>
      <c r="AC166">
        <f t="shared" si="224"/>
        <v>0</v>
      </c>
      <c r="AD166">
        <f t="shared" si="225"/>
        <v>0</v>
      </c>
      <c r="AF166">
        <f t="shared" si="226"/>
        <v>0</v>
      </c>
      <c r="AG166">
        <f t="shared" si="227"/>
        <v>0</v>
      </c>
    </row>
    <row r="167" spans="1:33" x14ac:dyDescent="0.25">
      <c r="A167">
        <v>300</v>
      </c>
      <c r="B167">
        <f t="shared" si="221"/>
        <v>18000</v>
      </c>
      <c r="C167">
        <v>0.29260000000000003</v>
      </c>
      <c r="D167">
        <v>7.3300000000000004E-2</v>
      </c>
      <c r="F167">
        <v>300</v>
      </c>
      <c r="J167">
        <v>300</v>
      </c>
      <c r="N167">
        <v>300</v>
      </c>
      <c r="Y167">
        <v>300</v>
      </c>
      <c r="Z167">
        <f t="shared" si="222"/>
        <v>5.2897795053248645E-5</v>
      </c>
      <c r="AA167">
        <f t="shared" si="223"/>
        <v>1.0733476176300364E-5</v>
      </c>
      <c r="AC167">
        <f t="shared" si="224"/>
        <v>0</v>
      </c>
      <c r="AD167">
        <f t="shared" si="225"/>
        <v>0</v>
      </c>
      <c r="AF167">
        <f t="shared" si="226"/>
        <v>0</v>
      </c>
      <c r="AG167">
        <f t="shared" si="227"/>
        <v>0</v>
      </c>
    </row>
    <row r="170" spans="1:33" x14ac:dyDescent="0.25">
      <c r="B170">
        <v>0.32269999999999999</v>
      </c>
      <c r="C170">
        <v>0.23130000000000001</v>
      </c>
      <c r="D170">
        <f>((B170*$U$7)-(C170*$U$6))/(($U$7*$U$4)-($U$6*$U$5))</f>
        <v>2.0113654181168825E-6</v>
      </c>
      <c r="E170">
        <f>((C170*$U$4)-(B170*$U$5))/(($U$7*$U$4)-($U$6*$U$5))</f>
        <v>3.7992479022441821E-5</v>
      </c>
    </row>
    <row r="172" spans="1:33" x14ac:dyDescent="0.25">
      <c r="A172">
        <v>48</v>
      </c>
      <c r="B172">
        <v>0.96750000000000003</v>
      </c>
      <c r="C172">
        <v>0.73950000000000005</v>
      </c>
      <c r="D172">
        <f>((B172*$U$7)-(C172*$U$6))/(($U$7*$U$4)-($U$6*$U$5))</f>
        <v>-1.1202075681784203E-5</v>
      </c>
      <c r="E172">
        <f>((C172*$U$4)-(B172*$U$5))/(($U$7*$U$4)-($U$6*$U$5))</f>
        <v>1.2190834136572884E-4</v>
      </c>
    </row>
    <row r="238" spans="2:3" x14ac:dyDescent="0.25">
      <c r="B238">
        <v>5</v>
      </c>
      <c r="C238">
        <f>AY64</f>
        <v>7.2218971440753911E-3</v>
      </c>
    </row>
    <row r="239" spans="2:3" x14ac:dyDescent="0.25">
      <c r="B239">
        <v>15</v>
      </c>
      <c r="C239">
        <f t="shared" ref="C239:C249" si="228">AY65</f>
        <v>1.322377016962805E-2</v>
      </c>
    </row>
    <row r="240" spans="2:3" x14ac:dyDescent="0.25">
      <c r="B240">
        <v>30</v>
      </c>
      <c r="C240">
        <f t="shared" si="228"/>
        <v>3.2983558760241935E-2</v>
      </c>
    </row>
    <row r="241" spans="2:3" x14ac:dyDescent="0.25">
      <c r="B241">
        <v>60</v>
      </c>
      <c r="C241">
        <f t="shared" si="228"/>
        <v>4.1891355666663424E-2</v>
      </c>
    </row>
    <row r="242" spans="2:3" x14ac:dyDescent="0.25">
      <c r="B242">
        <v>90</v>
      </c>
      <c r="C242">
        <f t="shared" si="228"/>
        <v>5.7432596395302876E-2</v>
      </c>
    </row>
    <row r="243" spans="2:3" x14ac:dyDescent="0.25">
      <c r="B243">
        <v>120</v>
      </c>
      <c r="C243">
        <f t="shared" si="228"/>
        <v>7.3362409187975153E-2</v>
      </c>
    </row>
    <row r="244" spans="2:3" x14ac:dyDescent="0.25">
      <c r="B244">
        <v>150</v>
      </c>
      <c r="C244">
        <f t="shared" si="228"/>
        <v>9.0651556975958891E-2</v>
      </c>
    </row>
    <row r="245" spans="2:3" x14ac:dyDescent="0.25">
      <c r="B245">
        <v>180</v>
      </c>
      <c r="C245">
        <f t="shared" si="228"/>
        <v>0.10467906046641692</v>
      </c>
    </row>
    <row r="246" spans="2:3" x14ac:dyDescent="0.25">
      <c r="B246">
        <v>210</v>
      </c>
      <c r="C246">
        <f t="shared" si="228"/>
        <v>0.12199859590327419</v>
      </c>
    </row>
    <row r="247" spans="2:3" x14ac:dyDescent="0.25">
      <c r="B247">
        <v>240</v>
      </c>
      <c r="C247">
        <f t="shared" si="228"/>
        <v>0.13643109728145297</v>
      </c>
    </row>
    <row r="248" spans="2:3" x14ac:dyDescent="0.25">
      <c r="B248">
        <v>270</v>
      </c>
      <c r="C248">
        <f t="shared" si="228"/>
        <v>0.14859674002929102</v>
      </c>
    </row>
    <row r="249" spans="2:3" x14ac:dyDescent="0.25">
      <c r="B249">
        <v>300</v>
      </c>
      <c r="C249">
        <f t="shared" si="228"/>
        <v>0.16239520661230211</v>
      </c>
    </row>
  </sheetData>
  <mergeCells count="46">
    <mergeCell ref="AI2:AJ2"/>
    <mergeCell ref="A139:D139"/>
    <mergeCell ref="F139:H139"/>
    <mergeCell ref="J139:L139"/>
    <mergeCell ref="A124:D124"/>
    <mergeCell ref="F124:H124"/>
    <mergeCell ref="J124:L124"/>
    <mergeCell ref="N77:P77"/>
    <mergeCell ref="N94:P94"/>
    <mergeCell ref="A94:D94"/>
    <mergeCell ref="F94:H94"/>
    <mergeCell ref="J94:L94"/>
    <mergeCell ref="A109:D109"/>
    <mergeCell ref="F109:H109"/>
    <mergeCell ref="J109:L109"/>
    <mergeCell ref="A77:D77"/>
    <mergeCell ref="J32:L32"/>
    <mergeCell ref="F77:H77"/>
    <mergeCell ref="J77:L77"/>
    <mergeCell ref="N2:P2"/>
    <mergeCell ref="N17:P17"/>
    <mergeCell ref="N32:P32"/>
    <mergeCell ref="N47:P47"/>
    <mergeCell ref="A2:D2"/>
    <mergeCell ref="F2:H2"/>
    <mergeCell ref="J2:L2"/>
    <mergeCell ref="T2:W2"/>
    <mergeCell ref="N62:P62"/>
    <mergeCell ref="A62:D62"/>
    <mergeCell ref="F62:H62"/>
    <mergeCell ref="J62:L62"/>
    <mergeCell ref="A17:D17"/>
    <mergeCell ref="F17:H17"/>
    <mergeCell ref="J17:L17"/>
    <mergeCell ref="A47:D47"/>
    <mergeCell ref="F47:H47"/>
    <mergeCell ref="J47:L47"/>
    <mergeCell ref="A32:D32"/>
    <mergeCell ref="F32:H32"/>
    <mergeCell ref="A154:D154"/>
    <mergeCell ref="F154:H154"/>
    <mergeCell ref="J154:L154"/>
    <mergeCell ref="N109:P109"/>
    <mergeCell ref="N124:P124"/>
    <mergeCell ref="N139:P139"/>
    <mergeCell ref="N154:P154"/>
  </mergeCells>
  <conditionalFormatting sqref="BX16:BY16">
    <cfRule type="duplicateValues" dxfId="1" priority="2"/>
  </conditionalFormatting>
  <conditionalFormatting sqref="BX31:BY31">
    <cfRule type="duplicateValues" dxfId="0" priority="1"/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E5"/>
  <sheetViews>
    <sheetView workbookViewId="0">
      <selection activeCell="E9" sqref="E9"/>
    </sheetView>
  </sheetViews>
  <sheetFormatPr baseColWidth="10" defaultColWidth="9.140625" defaultRowHeight="15" x14ac:dyDescent="0.25"/>
  <sheetData>
    <row r="2" spans="1:5" x14ac:dyDescent="0.25">
      <c r="A2" t="s">
        <v>142</v>
      </c>
      <c r="B2" s="7">
        <v>2.9999999999999999E-7</v>
      </c>
      <c r="D2" s="7">
        <f>B2*B4/(B2*B4+(1-B2)*B5)</f>
        <v>5.9450122353043689E-6</v>
      </c>
      <c r="E2" t="s">
        <v>145</v>
      </c>
    </row>
    <row r="3" spans="1:5" x14ac:dyDescent="0.25">
      <c r="B3" s="7">
        <v>6.0000000000000002E-6</v>
      </c>
      <c r="D3" s="7">
        <f>B3*B4/(B3*B4+(1-B3)*B5)</f>
        <v>1.1888749339651989E-4</v>
      </c>
      <c r="E3" t="s">
        <v>146</v>
      </c>
    </row>
    <row r="4" spans="1:5" x14ac:dyDescent="0.25">
      <c r="A4" t="s">
        <v>143</v>
      </c>
      <c r="B4">
        <v>357</v>
      </c>
    </row>
    <row r="5" spans="1:5" x14ac:dyDescent="0.25">
      <c r="A5" t="s">
        <v>144</v>
      </c>
      <c r="B5">
        <v>18.015000000000001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BS81"/>
  <sheetViews>
    <sheetView topLeftCell="BJ1" zoomScale="85" zoomScaleNormal="85" workbookViewId="0">
      <selection activeCell="BN14" sqref="BN14"/>
    </sheetView>
  </sheetViews>
  <sheetFormatPr baseColWidth="10" defaultColWidth="11.42578125" defaultRowHeight="15" x14ac:dyDescent="0.25"/>
  <cols>
    <col min="2" max="2" width="12" bestFit="1" customWidth="1"/>
    <col min="15" max="15" width="12" bestFit="1" customWidth="1"/>
    <col min="25" max="25" width="11.42578125" customWidth="1"/>
    <col min="27" max="27" width="12" bestFit="1" customWidth="1"/>
    <col min="39" max="39" width="12.28515625" bestFit="1" customWidth="1"/>
  </cols>
  <sheetData>
    <row r="1" spans="1:71" x14ac:dyDescent="0.25">
      <c r="A1" t="s">
        <v>96</v>
      </c>
      <c r="B1" t="s">
        <v>97</v>
      </c>
      <c r="J1" s="6" t="s">
        <v>69</v>
      </c>
      <c r="K1" s="6"/>
      <c r="M1" t="s">
        <v>100</v>
      </c>
      <c r="N1" t="s">
        <v>97</v>
      </c>
      <c r="V1" s="6" t="s">
        <v>69</v>
      </c>
      <c r="W1" s="6"/>
      <c r="Y1" t="s">
        <v>134</v>
      </c>
      <c r="Z1" t="s">
        <v>97</v>
      </c>
      <c r="AK1" t="s">
        <v>135</v>
      </c>
      <c r="AL1" t="s">
        <v>97</v>
      </c>
      <c r="AW1" t="s">
        <v>100</v>
      </c>
      <c r="AX1" t="s">
        <v>97</v>
      </c>
      <c r="BI1" t="s">
        <v>134</v>
      </c>
      <c r="BJ1" t="s">
        <v>97</v>
      </c>
    </row>
    <row r="2" spans="1:71" x14ac:dyDescent="0.25">
      <c r="A2" t="s">
        <v>95</v>
      </c>
      <c r="J2" t="s">
        <v>73</v>
      </c>
      <c r="K2">
        <v>1E-3</v>
      </c>
      <c r="M2" t="s">
        <v>95</v>
      </c>
      <c r="V2" t="s">
        <v>73</v>
      </c>
      <c r="W2">
        <v>1E-3</v>
      </c>
      <c r="Y2" t="s">
        <v>95</v>
      </c>
      <c r="AH2" s="6" t="s">
        <v>69</v>
      </c>
      <c r="AI2" s="6"/>
      <c r="AK2" t="s">
        <v>133</v>
      </c>
      <c r="AT2" s="6" t="s">
        <v>69</v>
      </c>
      <c r="AU2" s="6"/>
      <c r="AW2" t="s">
        <v>133</v>
      </c>
      <c r="BF2" s="6" t="s">
        <v>69</v>
      </c>
      <c r="BG2" s="6"/>
      <c r="BI2" t="s">
        <v>133</v>
      </c>
      <c r="BR2" s="6" t="s">
        <v>69</v>
      </c>
      <c r="BS2" s="6"/>
    </row>
    <row r="3" spans="1:71" x14ac:dyDescent="0.25">
      <c r="A3" t="s">
        <v>101</v>
      </c>
      <c r="B3" t="s">
        <v>102</v>
      </c>
      <c r="C3" t="s">
        <v>94</v>
      </c>
      <c r="D3" t="s">
        <v>98</v>
      </c>
      <c r="E3" t="s">
        <v>99</v>
      </c>
      <c r="F3" t="s">
        <v>79</v>
      </c>
      <c r="G3" t="s">
        <v>111</v>
      </c>
      <c r="H3" t="s">
        <v>112</v>
      </c>
      <c r="J3" t="s">
        <v>72</v>
      </c>
      <c r="K3" s="7">
        <f>K6*0.000000000001</f>
        <v>8.64230033305137E-12</v>
      </c>
      <c r="M3" t="s">
        <v>93</v>
      </c>
      <c r="N3" t="s">
        <v>102</v>
      </c>
      <c r="O3" t="s">
        <v>94</v>
      </c>
      <c r="P3" t="s">
        <v>98</v>
      </c>
      <c r="Q3" t="s">
        <v>99</v>
      </c>
      <c r="R3" t="s">
        <v>79</v>
      </c>
      <c r="S3" t="s">
        <v>111</v>
      </c>
      <c r="T3" t="s">
        <v>112</v>
      </c>
      <c r="V3" t="s">
        <v>72</v>
      </c>
      <c r="W3" s="7">
        <f>W6*0.000000000001</f>
        <v>1.8518882436874022E-12</v>
      </c>
      <c r="Y3" t="s">
        <v>93</v>
      </c>
      <c r="Z3" t="s">
        <v>102</v>
      </c>
      <c r="AA3" t="s">
        <v>94</v>
      </c>
      <c r="AB3" t="s">
        <v>98</v>
      </c>
      <c r="AC3" t="s">
        <v>99</v>
      </c>
      <c r="AD3" t="s">
        <v>79</v>
      </c>
      <c r="AH3" t="s">
        <v>73</v>
      </c>
      <c r="AI3">
        <v>1E-3</v>
      </c>
      <c r="AK3" t="s">
        <v>93</v>
      </c>
      <c r="AL3" t="s">
        <v>102</v>
      </c>
      <c r="AM3" t="s">
        <v>94</v>
      </c>
      <c r="AN3" t="s">
        <v>98</v>
      </c>
      <c r="AO3" t="s">
        <v>99</v>
      </c>
      <c r="AP3" t="s">
        <v>79</v>
      </c>
      <c r="AT3" t="s">
        <v>73</v>
      </c>
      <c r="AU3">
        <v>1E-3</v>
      </c>
      <c r="AW3" t="s">
        <v>93</v>
      </c>
      <c r="AX3" t="s">
        <v>102</v>
      </c>
      <c r="AY3" t="s">
        <v>94</v>
      </c>
      <c r="AZ3" t="s">
        <v>98</v>
      </c>
      <c r="BA3" t="s">
        <v>99</v>
      </c>
      <c r="BB3" t="s">
        <v>79</v>
      </c>
      <c r="BF3" t="s">
        <v>73</v>
      </c>
      <c r="BG3">
        <v>1E-3</v>
      </c>
      <c r="BI3" t="s">
        <v>93</v>
      </c>
      <c r="BJ3" t="s">
        <v>102</v>
      </c>
      <c r="BK3" t="s">
        <v>94</v>
      </c>
      <c r="BL3" t="s">
        <v>98</v>
      </c>
      <c r="BM3" t="s">
        <v>99</v>
      </c>
      <c r="BN3" t="s">
        <v>79</v>
      </c>
      <c r="BR3" t="s">
        <v>73</v>
      </c>
      <c r="BS3">
        <v>1E-3</v>
      </c>
    </row>
    <row r="4" spans="1:71" x14ac:dyDescent="0.25">
      <c r="A4">
        <v>600.08000000000004</v>
      </c>
      <c r="B4">
        <f>A4*60-60*$A$4</f>
        <v>0</v>
      </c>
      <c r="C4">
        <v>1.4104173424939237E-5</v>
      </c>
      <c r="D4" t="str">
        <f t="array" ref="D4:D64">Diffusion1D_xl(B4:B64,K2,K3,K4,K5)</f>
        <v>Local funcId 1690017899200 not found</v>
      </c>
      <c r="E4" t="e">
        <f>(1-C4/D4)^2</f>
        <v>#VALUE!</v>
      </c>
      <c r="F4" t="e">
        <f>SUM(E4:E64)</f>
        <v>#VALUE!</v>
      </c>
      <c r="G4" t="str">
        <f>ev_THFaktor($C$79,C4)</f>
        <v>Local funcId 1690017901696 not found</v>
      </c>
      <c r="H4" t="e">
        <f>AVERAGE(G4:G64)</f>
        <v>#DIV/0!</v>
      </c>
      <c r="J4" t="s">
        <v>70</v>
      </c>
      <c r="K4" s="7">
        <v>1E-4</v>
      </c>
      <c r="M4">
        <v>600.13</v>
      </c>
      <c r="N4">
        <f>M4*60-60*$M$4</f>
        <v>0</v>
      </c>
      <c r="O4">
        <v>3.1230383416453926E-6</v>
      </c>
      <c r="P4" t="str">
        <f t="array" ref="P4:P62">Diffusion1D_xl(N4:N62,W2,W3,W4,W5)</f>
        <v>Local funcId 1690017899200 not found</v>
      </c>
      <c r="Q4" t="e">
        <f t="array" ref="Q4">(1-O4/P4)^2</f>
        <v>#VALUE!</v>
      </c>
      <c r="R4" t="e">
        <f>SUM(Q4:Q64)</f>
        <v>#VALUE!</v>
      </c>
      <c r="S4" t="str">
        <f>ev_THFaktor($C$80,O4)</f>
        <v>Local funcId 1690017901696 not found</v>
      </c>
      <c r="T4" t="e">
        <f>AVERAGE(S4:S64)</f>
        <v>#DIV/0!</v>
      </c>
      <c r="V4" t="s">
        <v>70</v>
      </c>
      <c r="W4" s="7">
        <v>1E-4</v>
      </c>
      <c r="Y4">
        <v>600</v>
      </c>
      <c r="Z4">
        <f>Y4*60-(60*$Y$4)</f>
        <v>0</v>
      </c>
      <c r="AA4">
        <v>0</v>
      </c>
      <c r="AB4" t="str">
        <f t="array" ref="AB4:AB75">Diffusion1D_xl(Z4:Z75,AI3,AI4,AI5,AI6)</f>
        <v>Local funcId 1690017899200 not found</v>
      </c>
      <c r="AC4" t="e">
        <f t="array" ref="AC4">(1-AA4/AB4)^2</f>
        <v>#VALUE!</v>
      </c>
      <c r="AD4" t="e">
        <f>SUM(AC4:AC64)</f>
        <v>#VALUE!</v>
      </c>
      <c r="AE4" t="s">
        <v>111</v>
      </c>
      <c r="AF4" t="s">
        <v>112</v>
      </c>
      <c r="AH4" t="s">
        <v>72</v>
      </c>
      <c r="AI4" s="7">
        <f>AI7*0.000000000001</f>
        <v>2.0699399205899309E-12</v>
      </c>
      <c r="AK4">
        <v>600.12</v>
      </c>
      <c r="AL4">
        <f>AK4*60-60*$AK$4</f>
        <v>0</v>
      </c>
      <c r="AM4">
        <v>6.5659450695215157E-6</v>
      </c>
      <c r="AN4" t="str">
        <f t="array" ref="AN4:AN59">Diffusion1D_xl(AL4:AL75,AU3,AU4,AU5,AU6)</f>
        <v>Local funcId 1690017899200 not found</v>
      </c>
      <c r="AO4" t="e">
        <f t="array" ref="AO4">(1-AM4/AN4)^2</f>
        <v>#VALUE!</v>
      </c>
      <c r="AP4" t="e">
        <f>SUM(AO4:AO64)</f>
        <v>#VALUE!</v>
      </c>
      <c r="AQ4" t="s">
        <v>111</v>
      </c>
      <c r="AR4" t="s">
        <v>112</v>
      </c>
      <c r="AT4" t="s">
        <v>72</v>
      </c>
      <c r="AU4" s="7">
        <f>AU7*0.000000000001</f>
        <v>1.2198447743462788E-10</v>
      </c>
      <c r="AW4">
        <v>600.13</v>
      </c>
      <c r="AX4">
        <f>AW4*60-60*$AW$4</f>
        <v>0</v>
      </c>
      <c r="AY4">
        <v>1.1470959354540623E-4</v>
      </c>
      <c r="AZ4" t="str">
        <f t="array" ref="AZ4:AZ75">Diffusion1D_xl(AX4:AX75,BG3,BG4,BG5,BG6)</f>
        <v>Local funcId 1690017899200 not found</v>
      </c>
      <c r="BA4" t="e">
        <f t="array" ref="BA4">(1-AY4/AZ4)^2</f>
        <v>#VALUE!</v>
      </c>
      <c r="BB4" t="e">
        <f>SUM(BA4:BA64)</f>
        <v>#VALUE!</v>
      </c>
      <c r="BC4" t="s">
        <v>111</v>
      </c>
      <c r="BD4" t="s">
        <v>112</v>
      </c>
      <c r="BF4" t="s">
        <v>72</v>
      </c>
      <c r="BG4" s="7">
        <f>BG7*0.000000000001</f>
        <v>3.0474114695466313E-11</v>
      </c>
      <c r="BI4">
        <v>600</v>
      </c>
      <c r="BJ4">
        <f>BI4*60-(60*$BI$4)</f>
        <v>0</v>
      </c>
      <c r="BK4">
        <v>0</v>
      </c>
      <c r="BL4" t="str">
        <f t="array" ref="BL4:BL8">Diffusion1D_xl(BJ4:BJ75,BS3,BS4,BS5,BS6,AM81)</f>
        <v>Local funcId 1690017899200 not found</v>
      </c>
      <c r="BM4" t="e">
        <f t="array" ref="BM4">(1-BK4/BL4)^2</f>
        <v>#VALUE!</v>
      </c>
      <c r="BN4" t="e">
        <f>SUM(BM4:BM64)</f>
        <v>#VALUE!</v>
      </c>
      <c r="BO4" t="s">
        <v>111</v>
      </c>
      <c r="BP4" t="s">
        <v>112</v>
      </c>
      <c r="BR4" t="s">
        <v>72</v>
      </c>
      <c r="BS4" s="7">
        <f>BS7*0.000000000001</f>
        <v>4.1997781247003355E-12</v>
      </c>
    </row>
    <row r="5" spans="1:71" x14ac:dyDescent="0.25">
      <c r="A5">
        <v>616.77</v>
      </c>
      <c r="B5">
        <f t="shared" ref="B5:B64" si="0">A5*60-60*$A$4</f>
        <v>1001.3999999999942</v>
      </c>
      <c r="C5">
        <v>8.3546239486787018E-3</v>
      </c>
      <c r="D5" t="str">
        <v>Local funcId 1690017899200 not found</v>
      </c>
      <c r="E5" t="e">
        <f t="array" ref="E5">(1-C5/D5)^2</f>
        <v>#VALUE!</v>
      </c>
      <c r="G5" t="str">
        <f t="shared" ref="G5:G64" si="1">ev_THFaktor($C$79,C5)</f>
        <v>Local funcId 1690017901696 not found</v>
      </c>
      <c r="J5" t="s">
        <v>71</v>
      </c>
      <c r="K5" t="str">
        <f>Isothermen!A34</f>
        <v>Local funcId 1690017899488 not found</v>
      </c>
      <c r="M5">
        <v>616.83000000000004</v>
      </c>
      <c r="N5">
        <f t="shared" ref="N5:N62" si="2">M5*60-60*$A$4</f>
        <v>1005</v>
      </c>
      <c r="O5">
        <v>5.0972453746499615E-3</v>
      </c>
      <c r="P5" t="str">
        <v>Local funcId 1690017899200 not found</v>
      </c>
      <c r="Q5" t="e">
        <f t="array" ref="Q5">(1-O5/P5)^2</f>
        <v>#VALUE!</v>
      </c>
      <c r="S5" t="str">
        <f t="shared" ref="S5:S62" si="3">ev_THFaktor($C$80,O5)</f>
        <v>Local funcId 1690017901696 not found</v>
      </c>
      <c r="V5" t="s">
        <v>71</v>
      </c>
      <c r="W5" t="str">
        <f>Isothermen!D34</f>
        <v>Local funcId 1690017899488 not found</v>
      </c>
      <c r="Y5">
        <f>Y4+20</f>
        <v>620</v>
      </c>
      <c r="Z5">
        <f t="shared" ref="Z5:Z19" si="4">Y5*60-(60*$Y$4)</f>
        <v>1200</v>
      </c>
      <c r="AA5">
        <v>1.8209999999999999E-3</v>
      </c>
      <c r="AB5" t="str">
        <v>Local funcId 1690017899200 not found</v>
      </c>
      <c r="AC5" t="e">
        <f t="array" ref="AC5">(1-AA5/AB5)^2</f>
        <v>#VALUE!</v>
      </c>
      <c r="AE5" t="str">
        <f>ev_THFaktor($C$81,AA5)</f>
        <v>Local funcId 1690017901696 not found</v>
      </c>
      <c r="AF5" t="e">
        <f>AVERAGE(AE5:AE65)</f>
        <v>#DIV/0!</v>
      </c>
      <c r="AH5" t="s">
        <v>70</v>
      </c>
      <c r="AI5" s="7">
        <v>1E-4</v>
      </c>
      <c r="AK5">
        <v>616.80999999999995</v>
      </c>
      <c r="AL5">
        <f t="shared" ref="AL5:AL59" si="5">AK5*60-60*$AK$4</f>
        <v>1001.4000000000015</v>
      </c>
      <c r="AM5">
        <v>4.1282151355298398E-2</v>
      </c>
      <c r="AN5" t="str">
        <v>Local funcId 1690017899200 not found</v>
      </c>
      <c r="AO5" t="e">
        <f t="array" ref="AO5">(1-AM5/AN5)^2</f>
        <v>#VALUE!</v>
      </c>
      <c r="AQ5" t="str">
        <f t="array" ref="AQ5">ev_THFaktor($C$79,AM5)</f>
        <v>Local funcId 1690017901696 not found</v>
      </c>
      <c r="AR5" t="e">
        <f>AVERAGE(AQ5:AQ59)</f>
        <v>#DIV/0!</v>
      </c>
      <c r="AT5" t="s">
        <v>70</v>
      </c>
      <c r="AU5" s="7">
        <v>1E-4</v>
      </c>
      <c r="AW5">
        <v>616.82000000000005</v>
      </c>
      <c r="AX5">
        <f t="shared" ref="AX5:AX68" si="6">AW5*60-60*$AW$4</f>
        <v>1001.4000000000015</v>
      </c>
      <c r="AY5">
        <v>2.4375077726650558E-2</v>
      </c>
      <c r="AZ5" t="str">
        <v>Local funcId 1690017899200 not found</v>
      </c>
      <c r="BA5" t="e">
        <f t="array" ref="BA5">(1-AY5/AZ5)^2</f>
        <v>#VALUE!</v>
      </c>
      <c r="BC5" t="str">
        <f t="array" ref="BC5">ev_THFaktor($C$80,AY5)</f>
        <v>Local funcId 1690017901696 not found</v>
      </c>
      <c r="BD5" t="e">
        <f>AVERAGE(BC5:BC65)</f>
        <v>#DIV/0!</v>
      </c>
      <c r="BF5" t="s">
        <v>70</v>
      </c>
      <c r="BG5" s="7">
        <v>1E-4</v>
      </c>
      <c r="BI5">
        <f>BI4+20</f>
        <v>620</v>
      </c>
      <c r="BJ5">
        <f t="shared" ref="BJ5:BJ19" si="7">BI5*60-(60*$BI$4)</f>
        <v>1200</v>
      </c>
      <c r="BK5">
        <v>8.1014999999999993E-3</v>
      </c>
      <c r="BL5" t="str">
        <v>Local funcId 1690017899200 not found</v>
      </c>
      <c r="BM5" t="e">
        <f t="array" ref="BM5">(1-BK5/BL5)^2</f>
        <v>#VALUE!</v>
      </c>
      <c r="BO5" t="str">
        <f>ev_THFaktor($C$81,BK5)</f>
        <v>Local funcId 1690017901696 not found</v>
      </c>
      <c r="BP5" t="e">
        <f>AVERAGE(BO5:BO65)</f>
        <v>#DIV/0!</v>
      </c>
      <c r="BR5" t="s">
        <v>70</v>
      </c>
      <c r="BS5" s="7">
        <v>1E-4</v>
      </c>
    </row>
    <row r="6" spans="1:71" x14ac:dyDescent="0.25">
      <c r="A6">
        <v>633.45000000000005</v>
      </c>
      <c r="B6">
        <f t="shared" si="0"/>
        <v>2002.1999999999971</v>
      </c>
      <c r="C6">
        <v>1.4430613969106275E-2</v>
      </c>
      <c r="D6" t="str">
        <v>Local funcId 1690017899200 not found</v>
      </c>
      <c r="E6" t="e">
        <f t="array" ref="E6">(1-C6/D6)^2</f>
        <v>#VALUE!</v>
      </c>
      <c r="G6" t="str">
        <f t="shared" si="1"/>
        <v>Local funcId 1690017901696 not found</v>
      </c>
      <c r="J6" t="s">
        <v>80</v>
      </c>
      <c r="K6" s="7">
        <v>8.6423003330513701</v>
      </c>
      <c r="M6">
        <v>633.52</v>
      </c>
      <c r="N6">
        <f t="shared" si="2"/>
        <v>2006.3999999999942</v>
      </c>
      <c r="O6">
        <v>7.3964772184783338E-3</v>
      </c>
      <c r="P6" t="str">
        <v>Local funcId 1690017899200 not found</v>
      </c>
      <c r="Q6" t="e">
        <f t="array" ref="Q6">(1-O6/P6)^2</f>
        <v>#VALUE!</v>
      </c>
      <c r="S6" t="str">
        <f t="shared" si="3"/>
        <v>Local funcId 1690017901696 not found</v>
      </c>
      <c r="V6" t="s">
        <v>80</v>
      </c>
      <c r="W6" s="7">
        <v>1.851888243687402</v>
      </c>
      <c r="Y6">
        <f t="shared" ref="Y6:Y19" si="8">Y5+20</f>
        <v>640</v>
      </c>
      <c r="Z6">
        <f t="shared" si="4"/>
        <v>2400</v>
      </c>
      <c r="AA6">
        <v>2.594E-3</v>
      </c>
      <c r="AB6" t="str">
        <v>Local funcId 1690017899200 not found</v>
      </c>
      <c r="AC6" t="e">
        <f t="array" ref="AC6">(1-AA6/AB6)^2</f>
        <v>#VALUE!</v>
      </c>
      <c r="AE6" t="str">
        <f t="shared" ref="AE6:AE69" si="9">ev_THFaktor($C$81,AA6)</f>
        <v>Local funcId 1690017901696 not found</v>
      </c>
      <c r="AH6" t="s">
        <v>71</v>
      </c>
      <c r="AI6" t="str">
        <f>Isothermen!H34</f>
        <v>Local funcId 1690017899488 not found</v>
      </c>
      <c r="AK6">
        <v>633.5</v>
      </c>
      <c r="AL6">
        <f t="shared" si="5"/>
        <v>2002.8000000000029</v>
      </c>
      <c r="AM6">
        <v>6.3996115860441363E-2</v>
      </c>
      <c r="AN6" t="str">
        <v>Local funcId 1690017899200 not found</v>
      </c>
      <c r="AO6" t="e">
        <f t="array" ref="AO6">(1-AM6/AN6)^2</f>
        <v>#VALUE!</v>
      </c>
      <c r="AQ6" t="str">
        <f t="array" ref="AQ6">ev_THFaktor($C$79,AM6)</f>
        <v>Local funcId 1690017901696 not found</v>
      </c>
      <c r="AT6" t="s">
        <v>71</v>
      </c>
      <c r="AU6" t="str">
        <f>Isothermen!A34</f>
        <v>Local funcId 1690017899488 not found</v>
      </c>
      <c r="AW6">
        <v>633.51</v>
      </c>
      <c r="AX6">
        <f t="shared" si="6"/>
        <v>2002.7999999999956</v>
      </c>
      <c r="AY6">
        <v>3.352182429685447E-2</v>
      </c>
      <c r="AZ6" t="str">
        <v>Local funcId 1690017899200 not found</v>
      </c>
      <c r="BA6" t="e">
        <f t="array" ref="BA6">(1-AY6/AZ6)^2</f>
        <v>#VALUE!</v>
      </c>
      <c r="BC6" t="str">
        <f t="array" ref="BC6">ev_THFaktor($C$80,AY6)</f>
        <v>Local funcId 1690017901696 not found</v>
      </c>
      <c r="BF6" t="s">
        <v>71</v>
      </c>
      <c r="BG6" t="str">
        <f>Isothermen!D34</f>
        <v>Local funcId 1690017899488 not found</v>
      </c>
      <c r="BI6">
        <f t="shared" ref="BI6:BI19" si="10">BI5+20</f>
        <v>640</v>
      </c>
      <c r="BJ6">
        <f t="shared" si="7"/>
        <v>2400</v>
      </c>
      <c r="BK6">
        <v>1.1058999999999999E-2</v>
      </c>
      <c r="BL6" t="str">
        <v>Local funcId 1690017899200 not found</v>
      </c>
      <c r="BM6" t="e">
        <f t="array" ref="BM6">(1-BK6/BL6)^2</f>
        <v>#VALUE!</v>
      </c>
      <c r="BO6" t="str">
        <f t="shared" ref="BO6:BO8" si="11">ev_THFaktor($C$81,BK6)</f>
        <v>Local funcId 1690017901696 not found</v>
      </c>
      <c r="BR6" t="s">
        <v>71</v>
      </c>
      <c r="BS6">
        <f>Isothermen!AR34</f>
        <v>0</v>
      </c>
    </row>
    <row r="7" spans="1:71" x14ac:dyDescent="0.25">
      <c r="A7">
        <v>650.13</v>
      </c>
      <c r="B7">
        <f t="shared" si="0"/>
        <v>3003</v>
      </c>
      <c r="C7">
        <v>1.9467737399906981E-2</v>
      </c>
      <c r="D7" t="str">
        <v>Local funcId 1690017899200 not found</v>
      </c>
      <c r="E7" t="e">
        <f t="array" ref="E7">(1-C7/D7)^2</f>
        <v>#VALUE!</v>
      </c>
      <c r="G7" t="str">
        <f t="shared" si="1"/>
        <v>Local funcId 1690017901696 not found</v>
      </c>
      <c r="J7" t="s">
        <v>113</v>
      </c>
      <c r="K7" s="7" t="e">
        <f>K3/H4</f>
        <v>#DIV/0!</v>
      </c>
      <c r="M7">
        <v>650.20000000000005</v>
      </c>
      <c r="N7">
        <f t="shared" si="2"/>
        <v>3007.1999999999971</v>
      </c>
      <c r="O7">
        <v>9.0016201987878977E-3</v>
      </c>
      <c r="P7" t="str">
        <v>Local funcId 1690017899200 not found</v>
      </c>
      <c r="Q7" t="e">
        <f t="array" ref="Q7">(1-O7/P7)^2</f>
        <v>#VALUE!</v>
      </c>
      <c r="S7" t="str">
        <f t="shared" si="3"/>
        <v>Local funcId 1690017901696 not found</v>
      </c>
      <c r="V7" t="s">
        <v>113</v>
      </c>
      <c r="W7" s="7" t="e">
        <f>W3/T4</f>
        <v>#DIV/0!</v>
      </c>
      <c r="Y7">
        <f t="shared" si="8"/>
        <v>660</v>
      </c>
      <c r="Z7">
        <f t="shared" si="4"/>
        <v>3600</v>
      </c>
      <c r="AA7">
        <v>3.0839999999999999E-3</v>
      </c>
      <c r="AB7" t="str">
        <v>Local funcId 1690017899200 not found</v>
      </c>
      <c r="AC7" t="e">
        <f t="array" ref="AC7">(1-AA7/AB7)^2</f>
        <v>#VALUE!</v>
      </c>
      <c r="AE7" t="str">
        <f t="shared" si="9"/>
        <v>Local funcId 1690017901696 not found</v>
      </c>
      <c r="AH7" t="s">
        <v>80</v>
      </c>
      <c r="AI7" s="7">
        <v>2.0699399205899311</v>
      </c>
      <c r="AK7">
        <v>650.19000000000005</v>
      </c>
      <c r="AL7">
        <f t="shared" si="5"/>
        <v>3004.2000000000044</v>
      </c>
      <c r="AM7">
        <v>8.0991057312849529E-2</v>
      </c>
      <c r="AN7" t="str">
        <v>Local funcId 1690017899200 not found</v>
      </c>
      <c r="AO7" t="e">
        <f t="array" ref="AO7">(1-AM7/AN7)^2</f>
        <v>#VALUE!</v>
      </c>
      <c r="AQ7" t="str">
        <f t="array" ref="AQ7">ev_THFaktor($C$79,AM7)</f>
        <v>Local funcId 1690017901696 not found</v>
      </c>
      <c r="AT7" t="s">
        <v>80</v>
      </c>
      <c r="AU7" s="7">
        <v>121.98447743462788</v>
      </c>
      <c r="AW7">
        <v>650.20000000000005</v>
      </c>
      <c r="AX7">
        <f t="shared" si="6"/>
        <v>3004.1999999999971</v>
      </c>
      <c r="AY7">
        <v>3.9015128315060446E-2</v>
      </c>
      <c r="AZ7" t="str">
        <v>Local funcId 1690017899200 not found</v>
      </c>
      <c r="BA7" t="e">
        <f t="array" ref="BA7">(1-AY7/AZ7)^2</f>
        <v>#VALUE!</v>
      </c>
      <c r="BC7" t="str">
        <f t="array" ref="BC7">ev_THFaktor($C$80,AY7)</f>
        <v>Local funcId 1690017901696 not found</v>
      </c>
      <c r="BF7" t="s">
        <v>80</v>
      </c>
      <c r="BG7" s="7">
        <v>30.474114695466316</v>
      </c>
      <c r="BI7">
        <f t="shared" si="10"/>
        <v>660</v>
      </c>
      <c r="BJ7">
        <f t="shared" si="7"/>
        <v>3600</v>
      </c>
      <c r="BK7">
        <v>1.32035E-2</v>
      </c>
      <c r="BL7" t="str">
        <v>Local funcId 1690017899200 not found</v>
      </c>
      <c r="BM7" t="e">
        <f t="array" ref="BM7">(1-BK7/BL7)^2</f>
        <v>#VALUE!</v>
      </c>
      <c r="BO7" t="str">
        <f t="shared" si="11"/>
        <v>Local funcId 1690017901696 not found</v>
      </c>
      <c r="BR7" t="s">
        <v>80</v>
      </c>
      <c r="BS7" s="7">
        <v>4.1997781247003356</v>
      </c>
    </row>
    <row r="8" spans="1:71" x14ac:dyDescent="0.25">
      <c r="A8">
        <v>666.81</v>
      </c>
      <c r="B8">
        <f t="shared" si="0"/>
        <v>4003.7999999999956</v>
      </c>
      <c r="C8">
        <v>2.3895515059176635E-2</v>
      </c>
      <c r="D8" t="str">
        <v>Local funcId 1690017899200 not found</v>
      </c>
      <c r="E8" t="e">
        <f t="array" ref="E8">(1-C8/D8)^2</f>
        <v>#VALUE!</v>
      </c>
      <c r="G8" t="str">
        <f t="shared" si="1"/>
        <v>Local funcId 1690017901696 not found</v>
      </c>
      <c r="M8">
        <v>666.89</v>
      </c>
      <c r="N8">
        <f t="shared" si="2"/>
        <v>4008.5999999999985</v>
      </c>
      <c r="O8">
        <v>1.0294238101199116E-2</v>
      </c>
      <c r="P8" t="str">
        <v>Local funcId 1690017899200 not found</v>
      </c>
      <c r="Q8" t="e">
        <f t="array" ref="Q8">(1-O8/P8)^2</f>
        <v>#VALUE!</v>
      </c>
      <c r="S8" t="str">
        <f t="shared" si="3"/>
        <v>Local funcId 1690017901696 not found</v>
      </c>
      <c r="Y8">
        <f t="shared" si="8"/>
        <v>680</v>
      </c>
      <c r="Z8">
        <f t="shared" si="4"/>
        <v>4800</v>
      </c>
      <c r="AA8">
        <v>3.4589999999999998E-3</v>
      </c>
      <c r="AB8" t="str">
        <v>Local funcId 1690017899200 not found</v>
      </c>
      <c r="AC8" t="e">
        <f t="array" ref="AC8">(1-AA8/AB8)^2</f>
        <v>#VALUE!</v>
      </c>
      <c r="AE8" t="str">
        <f t="shared" si="9"/>
        <v>Local funcId 1690017901696 not found</v>
      </c>
      <c r="AH8" t="s">
        <v>113</v>
      </c>
      <c r="AI8" s="7" t="e">
        <f>AI4/AF5</f>
        <v>#DIV/0!</v>
      </c>
      <c r="AK8">
        <v>666.88</v>
      </c>
      <c r="AL8">
        <f t="shared" si="5"/>
        <v>4005.6000000000058</v>
      </c>
      <c r="AM8">
        <v>9.4928509454817761E-2</v>
      </c>
      <c r="AN8" t="str">
        <v>Local funcId 1690017899200 not found</v>
      </c>
      <c r="AO8" t="e">
        <f t="array" ref="AO8">(1-AM8/AN8)^2</f>
        <v>#VALUE!</v>
      </c>
      <c r="AQ8" t="str">
        <f t="array" ref="AQ8">ev_THFaktor($C$79,AM8)</f>
        <v>Local funcId 1690017901696 not found</v>
      </c>
      <c r="AT8" t="s">
        <v>113</v>
      </c>
      <c r="AU8" s="7" t="e">
        <f>AU4/AR5</f>
        <v>#DIV/0!</v>
      </c>
      <c r="AW8">
        <v>666.89</v>
      </c>
      <c r="AX8">
        <f t="shared" si="6"/>
        <v>4005.5999999999985</v>
      </c>
      <c r="AY8">
        <v>4.284328617704608E-2</v>
      </c>
      <c r="AZ8" t="str">
        <v>Local funcId 1690017899200 not found</v>
      </c>
      <c r="BA8" t="e">
        <f t="array" ref="BA8">(1-AY8/AZ8)^2</f>
        <v>#VALUE!</v>
      </c>
      <c r="BC8" t="str">
        <f t="array" ref="BC8">ev_THFaktor($C$80,AY8)</f>
        <v>Local funcId 1690017901696 not found</v>
      </c>
      <c r="BF8" t="s">
        <v>113</v>
      </c>
      <c r="BG8" s="7" t="e">
        <f>BG4/BD5</f>
        <v>#DIV/0!</v>
      </c>
      <c r="BI8">
        <f t="shared" si="10"/>
        <v>680</v>
      </c>
      <c r="BJ8">
        <f t="shared" si="7"/>
        <v>4800</v>
      </c>
      <c r="BK8">
        <v>1.49435E-2</v>
      </c>
      <c r="BL8" t="str">
        <v>Local funcId 1690017899200 not found</v>
      </c>
      <c r="BM8" t="e">
        <f t="array" ref="BM8">(1-BK8/BL8)^2</f>
        <v>#VALUE!</v>
      </c>
      <c r="BO8" t="str">
        <f t="shared" si="11"/>
        <v>Local funcId 1690017901696 not found</v>
      </c>
      <c r="BR8" t="s">
        <v>113</v>
      </c>
      <c r="BS8" s="7" t="e">
        <f>BS4/BP5</f>
        <v>#DIV/0!</v>
      </c>
    </row>
    <row r="9" spans="1:71" x14ac:dyDescent="0.25">
      <c r="A9">
        <v>683.49</v>
      </c>
      <c r="B9">
        <f t="shared" si="0"/>
        <v>5004.5999999999985</v>
      </c>
      <c r="C9">
        <v>2.789711339829247E-2</v>
      </c>
      <c r="D9" t="str">
        <v>Local funcId 1690017899200 not found</v>
      </c>
      <c r="E9" t="e">
        <f t="array" ref="E9">(1-C9/D9)^2</f>
        <v>#VALUE!</v>
      </c>
      <c r="G9" t="str">
        <f t="shared" si="1"/>
        <v>Local funcId 1690017901696 not found</v>
      </c>
      <c r="M9">
        <v>683.58</v>
      </c>
      <c r="N9">
        <f t="shared" si="2"/>
        <v>5010</v>
      </c>
      <c r="O9">
        <v>1.1400387474239167E-2</v>
      </c>
      <c r="P9" t="str">
        <v>Local funcId 1690017899200 not found</v>
      </c>
      <c r="Q9" t="e">
        <f t="array" ref="Q9">(1-O9/P9)^2</f>
        <v>#VALUE!</v>
      </c>
      <c r="S9" t="str">
        <f t="shared" si="3"/>
        <v>Local funcId 1690017901696 not found</v>
      </c>
      <c r="Y9">
        <f t="shared" si="8"/>
        <v>700</v>
      </c>
      <c r="Z9">
        <f t="shared" si="4"/>
        <v>6000</v>
      </c>
      <c r="AA9">
        <v>3.771E-3</v>
      </c>
      <c r="AB9" t="str">
        <v>Local funcId 1690017899200 not found</v>
      </c>
      <c r="AC9" t="e">
        <f t="array" ref="AC9">(1-AA9/AB9)^2</f>
        <v>#VALUE!</v>
      </c>
      <c r="AE9" t="str">
        <f t="shared" si="9"/>
        <v>Local funcId 1690017901696 not found</v>
      </c>
      <c r="AK9">
        <v>683.57</v>
      </c>
      <c r="AL9">
        <f t="shared" si="5"/>
        <v>5007.0000000000073</v>
      </c>
      <c r="AM9">
        <v>0.10690724853545709</v>
      </c>
      <c r="AN9" t="str">
        <v>Local funcId 1690017899200 not found</v>
      </c>
      <c r="AO9" t="e">
        <f t="array" ref="AO9">(1-AM9/AN9)^2</f>
        <v>#VALUE!</v>
      </c>
      <c r="AQ9" t="str">
        <f t="array" ref="AQ9">ev_THFaktor($C$79,AM9)</f>
        <v>Local funcId 1690017901696 not found</v>
      </c>
      <c r="AW9">
        <v>683.58</v>
      </c>
      <c r="AX9">
        <f t="shared" si="6"/>
        <v>5007</v>
      </c>
      <c r="AY9">
        <v>4.5806169115500513E-2</v>
      </c>
      <c r="AZ9" t="str">
        <v>Local funcId 1690017899200 not found</v>
      </c>
      <c r="BA9" t="e">
        <f t="array" ref="BA9">(1-AY9/AZ9)^2</f>
        <v>#VALUE!</v>
      </c>
      <c r="BC9" t="str">
        <f t="array" ref="BC9">ev_THFaktor($C$80,AY9)</f>
        <v>Local funcId 1690017901696 not found</v>
      </c>
      <c r="BI9">
        <f t="shared" si="10"/>
        <v>700</v>
      </c>
      <c r="BJ9">
        <f t="shared" si="7"/>
        <v>6000</v>
      </c>
      <c r="BK9">
        <v>1.6414999999999999E-2</v>
      </c>
    </row>
    <row r="10" spans="1:71" x14ac:dyDescent="0.25">
      <c r="A10">
        <v>700.17</v>
      </c>
      <c r="B10">
        <f t="shared" si="0"/>
        <v>6005.3999999999942</v>
      </c>
      <c r="C10">
        <v>3.1576583002734894E-2</v>
      </c>
      <c r="D10" t="str">
        <v>Local funcId 1690017899200 not found</v>
      </c>
      <c r="E10" t="e">
        <f t="array" ref="E10">(1-C10/D10)^2</f>
        <v>#VALUE!</v>
      </c>
      <c r="G10" t="str">
        <f t="shared" si="1"/>
        <v>Local funcId 1690017901696 not found</v>
      </c>
      <c r="M10">
        <v>700.27</v>
      </c>
      <c r="N10">
        <f t="shared" si="2"/>
        <v>6011.3999999999942</v>
      </c>
      <c r="O10">
        <v>1.2383757691655402E-2</v>
      </c>
      <c r="P10" t="str">
        <v>Local funcId 1690017899200 not found</v>
      </c>
      <c r="Q10" t="e">
        <f t="array" ref="Q10">(1-O10/P10)^2</f>
        <v>#VALUE!</v>
      </c>
      <c r="S10" t="str">
        <f t="shared" si="3"/>
        <v>Local funcId 1690017901696 not found</v>
      </c>
      <c r="Y10">
        <f t="shared" si="8"/>
        <v>720</v>
      </c>
      <c r="Z10">
        <f t="shared" si="4"/>
        <v>7200</v>
      </c>
      <c r="AA10">
        <v>4.0400000000000002E-3</v>
      </c>
      <c r="AB10" t="str">
        <v>Local funcId 1690017899200 not found</v>
      </c>
      <c r="AC10" t="e">
        <f t="array" ref="AC10">(1-AA10/AB10)^2</f>
        <v>#VALUE!</v>
      </c>
      <c r="AE10" t="str">
        <f t="shared" si="9"/>
        <v>Local funcId 1690017901696 not found</v>
      </c>
      <c r="AG10" s="7"/>
      <c r="AK10">
        <v>700.26</v>
      </c>
      <c r="AL10">
        <f t="shared" si="5"/>
        <v>6008.4000000000015</v>
      </c>
      <c r="AM10">
        <v>0.11746469569046965</v>
      </c>
      <c r="AN10" t="str">
        <v>Local funcId 1690017899200 not found</v>
      </c>
      <c r="AO10" t="e">
        <f t="array" ref="AO10">(1-AM10/AN10)^2</f>
        <v>#VALUE!</v>
      </c>
      <c r="AQ10" t="str">
        <f t="array" ref="AQ10">ev_THFaktor($C$79,AM10)</f>
        <v>Local funcId 1690017901696 not found</v>
      </c>
      <c r="AW10">
        <v>700.27</v>
      </c>
      <c r="AX10">
        <f t="shared" si="6"/>
        <v>6008.3999999999942</v>
      </c>
      <c r="AY10">
        <v>4.825452670528619E-2</v>
      </c>
      <c r="AZ10" t="str">
        <v>Local funcId 1690017899200 not found</v>
      </c>
      <c r="BA10" t="e">
        <f t="array" ref="BA10">(1-AY10/AZ10)^2</f>
        <v>#VALUE!</v>
      </c>
      <c r="BC10" t="str">
        <f t="array" ref="BC10">ev_THFaktor($C$80,AY10)</f>
        <v>Local funcId 1690017901696 not found</v>
      </c>
      <c r="BI10">
        <f t="shared" si="10"/>
        <v>720</v>
      </c>
      <c r="BJ10">
        <f t="shared" si="7"/>
        <v>7200</v>
      </c>
      <c r="BK10">
        <v>1.7714000000000001E-2</v>
      </c>
    </row>
    <row r="11" spans="1:71" x14ac:dyDescent="0.25">
      <c r="A11">
        <v>716.86</v>
      </c>
      <c r="B11">
        <f t="shared" si="0"/>
        <v>7006.7999999999956</v>
      </c>
      <c r="C11">
        <v>3.5002155025746814E-2</v>
      </c>
      <c r="D11" t="str">
        <v>Local funcId 1690017899200 not found</v>
      </c>
      <c r="E11" t="e">
        <f t="array" ref="E11">(1-C11/D11)^2</f>
        <v>#VALUE!</v>
      </c>
      <c r="G11" t="str">
        <f t="shared" si="1"/>
        <v>Local funcId 1690017901696 not found</v>
      </c>
      <c r="M11">
        <v>716.96</v>
      </c>
      <c r="N11">
        <f t="shared" si="2"/>
        <v>7012.8000000000029</v>
      </c>
      <c r="O11">
        <v>1.3270920613300503E-2</v>
      </c>
      <c r="P11" t="str">
        <v>Local funcId 1690017899200 not found</v>
      </c>
      <c r="Q11" t="e">
        <f t="array" ref="Q11">(1-O11/P11)^2</f>
        <v>#VALUE!</v>
      </c>
      <c r="S11" t="str">
        <f t="shared" si="3"/>
        <v>Local funcId 1690017901696 not found</v>
      </c>
      <c r="Y11">
        <f t="shared" si="8"/>
        <v>740</v>
      </c>
      <c r="Z11">
        <f t="shared" si="4"/>
        <v>8400</v>
      </c>
      <c r="AA11">
        <v>4.2859999999999999E-3</v>
      </c>
      <c r="AB11" t="str">
        <v>Local funcId 1690017899200 not found</v>
      </c>
      <c r="AC11" t="e">
        <f t="array" ref="AC11">(1-AA11/AB11)^2</f>
        <v>#VALUE!</v>
      </c>
      <c r="AE11" t="str">
        <f t="shared" si="9"/>
        <v>Local funcId 1690017901696 not found</v>
      </c>
      <c r="AK11">
        <v>716.95</v>
      </c>
      <c r="AL11">
        <f t="shared" si="5"/>
        <v>7009.8000000000029</v>
      </c>
      <c r="AM11">
        <v>0.12690541570882338</v>
      </c>
      <c r="AN11" t="str">
        <v>Local funcId 1690017899200 not found</v>
      </c>
      <c r="AO11" t="e">
        <f t="array" ref="AO11">(1-AM11/AN11)^2</f>
        <v>#VALUE!</v>
      </c>
      <c r="AQ11" t="str">
        <f t="array" ref="AQ11">ev_THFaktor($C$79,AM11)</f>
        <v>Local funcId 1690017901696 not found</v>
      </c>
      <c r="AW11">
        <v>716.95</v>
      </c>
      <c r="AX11">
        <f t="shared" si="6"/>
        <v>7009.1999999999971</v>
      </c>
      <c r="AY11">
        <v>5.0483533242153579E-2</v>
      </c>
      <c r="AZ11" t="str">
        <v>Local funcId 1690017899200 not found</v>
      </c>
      <c r="BA11" t="e">
        <f t="array" ref="BA11">(1-AY11/AZ11)^2</f>
        <v>#VALUE!</v>
      </c>
      <c r="BC11" t="str">
        <f t="array" ref="BC11">ev_THFaktor($C$80,AY11)</f>
        <v>Local funcId 1690017901696 not found</v>
      </c>
      <c r="BI11">
        <f t="shared" si="10"/>
        <v>740</v>
      </c>
      <c r="BJ11">
        <f t="shared" si="7"/>
        <v>8400</v>
      </c>
      <c r="BK11">
        <v>1.8872E-2</v>
      </c>
    </row>
    <row r="12" spans="1:71" x14ac:dyDescent="0.25">
      <c r="A12">
        <v>733.54</v>
      </c>
      <c r="B12">
        <f t="shared" si="0"/>
        <v>8007.5999999999913</v>
      </c>
      <c r="C12">
        <v>3.8213709185126996E-2</v>
      </c>
      <c r="D12" t="str">
        <v>Local funcId 1690017899200 not found</v>
      </c>
      <c r="E12" t="e">
        <f t="array" ref="E12">(1-C12/D12)^2</f>
        <v>#VALUE!</v>
      </c>
      <c r="G12" t="str">
        <f t="shared" si="1"/>
        <v>Local funcId 1690017901696 not found</v>
      </c>
      <c r="M12">
        <v>733.65</v>
      </c>
      <c r="N12">
        <f t="shared" si="2"/>
        <v>8014.1999999999971</v>
      </c>
      <c r="O12">
        <v>1.4082121847995762E-2</v>
      </c>
      <c r="P12" t="str">
        <v>Local funcId 1690017899200 not found</v>
      </c>
      <c r="Q12" t="e">
        <f t="array" ref="Q12">(1-O12/P12)^2</f>
        <v>#VALUE!</v>
      </c>
      <c r="S12" t="str">
        <f t="shared" si="3"/>
        <v>Local funcId 1690017901696 not found</v>
      </c>
      <c r="Y12">
        <f t="shared" si="8"/>
        <v>760</v>
      </c>
      <c r="Z12">
        <f t="shared" si="4"/>
        <v>9600</v>
      </c>
      <c r="AA12">
        <v>4.509E-3</v>
      </c>
      <c r="AB12" t="str">
        <v>Local funcId 1690017899200 not found</v>
      </c>
      <c r="AC12" t="e">
        <f t="array" ref="AC12">(1-AA12/AB12)^2</f>
        <v>#VALUE!</v>
      </c>
      <c r="AE12" t="str">
        <f t="shared" si="9"/>
        <v>Local funcId 1690017901696 not found</v>
      </c>
      <c r="AK12">
        <v>733.64</v>
      </c>
      <c r="AL12">
        <f t="shared" si="5"/>
        <v>8011.2000000000044</v>
      </c>
      <c r="AM12">
        <v>0.13548431043095233</v>
      </c>
      <c r="AN12" t="str">
        <v>Local funcId 1690017899200 not found</v>
      </c>
      <c r="AO12" t="e">
        <f t="array" ref="AO12">(1-AM12/AN12)^2</f>
        <v>#VALUE!</v>
      </c>
      <c r="AQ12" t="str">
        <f t="array" ref="AQ12">ev_THFaktor($C$79,AM12)</f>
        <v>Local funcId 1690017901696 not found</v>
      </c>
      <c r="AW12">
        <v>733.64</v>
      </c>
      <c r="AX12">
        <f t="shared" si="6"/>
        <v>8010.5999999999985</v>
      </c>
      <c r="AY12">
        <v>5.2501902242834721E-2</v>
      </c>
      <c r="AZ12" t="str">
        <v>Local funcId 1690017899200 not found</v>
      </c>
      <c r="BA12" t="e">
        <f t="array" ref="BA12">(1-AY12/AZ12)^2</f>
        <v>#VALUE!</v>
      </c>
      <c r="BC12" t="str">
        <f t="array" ref="BC12">ev_THFaktor($C$80,AY12)</f>
        <v>Local funcId 1690017901696 not found</v>
      </c>
      <c r="BI12">
        <f t="shared" si="10"/>
        <v>760</v>
      </c>
      <c r="BJ12">
        <f t="shared" si="7"/>
        <v>9600</v>
      </c>
      <c r="BK12">
        <v>1.9935000000000001E-2</v>
      </c>
    </row>
    <row r="13" spans="1:71" x14ac:dyDescent="0.25">
      <c r="A13">
        <v>750.22</v>
      </c>
      <c r="B13">
        <f t="shared" si="0"/>
        <v>9008.4000000000015</v>
      </c>
      <c r="C13">
        <v>4.1251286520272656E-2</v>
      </c>
      <c r="D13" t="str">
        <v>Local funcId 1690017899200 not found</v>
      </c>
      <c r="E13" t="e">
        <f t="array" ref="E13">(1-C13/D13)^2</f>
        <v>#VALUE!</v>
      </c>
      <c r="G13" t="str">
        <f t="shared" si="1"/>
        <v>Local funcId 1690017901696 not found</v>
      </c>
      <c r="M13">
        <v>750.34</v>
      </c>
      <c r="N13">
        <f t="shared" si="2"/>
        <v>9015.5999999999985</v>
      </c>
      <c r="O13">
        <v>1.4835918799342993E-2</v>
      </c>
      <c r="P13" t="str">
        <v>Local funcId 1690017899200 not found</v>
      </c>
      <c r="Q13" t="e">
        <f t="array" ref="Q13">(1-O13/P13)^2</f>
        <v>#VALUE!</v>
      </c>
      <c r="S13" t="str">
        <f t="shared" si="3"/>
        <v>Local funcId 1690017901696 not found</v>
      </c>
      <c r="Y13">
        <f t="shared" si="8"/>
        <v>780</v>
      </c>
      <c r="Z13">
        <f t="shared" si="4"/>
        <v>10800</v>
      </c>
      <c r="AA13">
        <v>4.7140000000000003E-3</v>
      </c>
      <c r="AB13" t="str">
        <v>Local funcId 1690017899200 not found</v>
      </c>
      <c r="AC13" t="e">
        <f t="array" ref="AC13">(1-AA13/AB13)^2</f>
        <v>#VALUE!</v>
      </c>
      <c r="AE13" t="str">
        <f t="shared" si="9"/>
        <v>Local funcId 1690017901696 not found</v>
      </c>
      <c r="AG13" t="s">
        <v>92</v>
      </c>
      <c r="AH13" t="s">
        <v>105</v>
      </c>
      <c r="AI13" t="s">
        <v>115</v>
      </c>
      <c r="AK13">
        <v>750.32</v>
      </c>
      <c r="AL13">
        <f t="shared" si="5"/>
        <v>9012.0000000000073</v>
      </c>
      <c r="AM13">
        <v>0.14327501828205003</v>
      </c>
      <c r="AN13" t="str">
        <v>Local funcId 1690017899200 not found</v>
      </c>
      <c r="AO13" t="e">
        <f t="array" ref="AO13">(1-AM13/AN13)^2</f>
        <v>#VALUE!</v>
      </c>
      <c r="AQ13" t="str">
        <f t="array" ref="AQ13">ev_THFaktor($C$79,AM13)</f>
        <v>Local funcId 1690017901696 not found</v>
      </c>
      <c r="AW13">
        <v>750.33</v>
      </c>
      <c r="AX13">
        <f t="shared" si="6"/>
        <v>9012</v>
      </c>
      <c r="AY13">
        <v>5.4352149857157937E-2</v>
      </c>
      <c r="AZ13" t="str">
        <v>Local funcId 1690017899200 not found</v>
      </c>
      <c r="BA13" t="e">
        <f t="array" ref="BA13">(1-AY13/AZ13)^2</f>
        <v>#VALUE!</v>
      </c>
      <c r="BC13" t="str">
        <f t="array" ref="BC13">ev_THFaktor($C$80,AY13)</f>
        <v>Local funcId 1690017901696 not found</v>
      </c>
      <c r="BI13">
        <f t="shared" si="10"/>
        <v>780</v>
      </c>
      <c r="BJ13">
        <f t="shared" si="7"/>
        <v>10800</v>
      </c>
      <c r="BK13">
        <v>0.20904</v>
      </c>
    </row>
    <row r="14" spans="1:71" x14ac:dyDescent="0.25">
      <c r="A14">
        <v>766.9</v>
      </c>
      <c r="B14">
        <f t="shared" si="0"/>
        <v>10009.199999999997</v>
      </c>
      <c r="C14">
        <v>4.4133728402755167E-2</v>
      </c>
      <c r="D14" t="str">
        <v>Local funcId 1690017899200 not found</v>
      </c>
      <c r="E14" t="e">
        <f t="array" ref="E14">(1-C14/D14)^2</f>
        <v>#VALUE!</v>
      </c>
      <c r="G14" t="str">
        <f t="shared" si="1"/>
        <v>Local funcId 1690017901696 not found</v>
      </c>
      <c r="M14">
        <v>767.03</v>
      </c>
      <c r="N14">
        <f t="shared" si="2"/>
        <v>10016.999999999993</v>
      </c>
      <c r="O14">
        <v>1.5537111822009599E-2</v>
      </c>
      <c r="P14" t="str">
        <v>Local funcId 1690017899200 not found</v>
      </c>
      <c r="Q14" t="e">
        <f t="array" ref="Q14">(1-O14/P14)^2</f>
        <v>#VALUE!</v>
      </c>
      <c r="S14" t="str">
        <f t="shared" si="3"/>
        <v>Local funcId 1690017901696 not found</v>
      </c>
      <c r="Y14">
        <f t="shared" si="8"/>
        <v>800</v>
      </c>
      <c r="Z14">
        <f t="shared" si="4"/>
        <v>12000</v>
      </c>
      <c r="AA14">
        <v>4.9100000000000003E-3</v>
      </c>
      <c r="AB14" t="str">
        <v>Local funcId 1690017899200 not found</v>
      </c>
      <c r="AC14" t="e">
        <f t="array" ref="AC14">(1-AA14/AB14)^2</f>
        <v>#VALUE!</v>
      </c>
      <c r="AE14" t="str">
        <f t="shared" si="9"/>
        <v>Local funcId 1690017901696 not found</v>
      </c>
      <c r="AG14">
        <v>0.3</v>
      </c>
      <c r="AH14" s="7">
        <f>K3</f>
        <v>8.64230033305137E-12</v>
      </c>
      <c r="AI14">
        <f>LOG10(AH14:AH16)</f>
        <v>-11.063370645370247</v>
      </c>
      <c r="AK14">
        <v>767.01</v>
      </c>
      <c r="AL14">
        <f t="shared" si="5"/>
        <v>10013.400000000001</v>
      </c>
      <c r="AM14">
        <v>0.15036289490273538</v>
      </c>
      <c r="AN14" t="str">
        <v>Local funcId 1690017899200 not found</v>
      </c>
      <c r="AO14" t="e">
        <f t="array" ref="AO14">(1-AM14/AN14)^2</f>
        <v>#VALUE!</v>
      </c>
      <c r="AQ14" t="str">
        <f t="array" ref="AQ14">ev_THFaktor($C$79,AM14)</f>
        <v>Local funcId 1690017901696 not found</v>
      </c>
      <c r="AW14">
        <v>767.02</v>
      </c>
      <c r="AX14">
        <f t="shared" si="6"/>
        <v>10013.399999999994</v>
      </c>
      <c r="AY14">
        <v>5.6058910587300663E-2</v>
      </c>
      <c r="AZ14" t="str">
        <v>Local funcId 1690017899200 not found</v>
      </c>
      <c r="BA14" t="e">
        <f t="array" ref="BA14">(1-AY14/AZ14)^2</f>
        <v>#VALUE!</v>
      </c>
      <c r="BC14" t="str">
        <f t="array" ref="BC14">ev_THFaktor($C$80,AY14)</f>
        <v>Local funcId 1690017901696 not found</v>
      </c>
      <c r="BI14">
        <f t="shared" si="10"/>
        <v>800</v>
      </c>
      <c r="BJ14">
        <f t="shared" si="7"/>
        <v>12000</v>
      </c>
      <c r="BK14">
        <v>0.21806</v>
      </c>
      <c r="BQ14" t="s">
        <v>92</v>
      </c>
      <c r="BR14" t="s">
        <v>105</v>
      </c>
      <c r="BS14" t="s">
        <v>115</v>
      </c>
    </row>
    <row r="15" spans="1:71" x14ac:dyDescent="0.25">
      <c r="A15">
        <v>783.58</v>
      </c>
      <c r="B15">
        <f t="shared" si="0"/>
        <v>11010</v>
      </c>
      <c r="C15">
        <v>4.6886435943778039E-2</v>
      </c>
      <c r="D15" t="str">
        <v>Local funcId 1690017899200 not found</v>
      </c>
      <c r="E15" t="e">
        <f t="array" ref="E15">(1-C15/D15)^2</f>
        <v>#VALUE!</v>
      </c>
      <c r="G15" t="str">
        <f t="shared" si="1"/>
        <v>Local funcId 1690017901696 not found</v>
      </c>
      <c r="M15">
        <v>783.72</v>
      </c>
      <c r="N15">
        <f t="shared" si="2"/>
        <v>11018.400000000001</v>
      </c>
      <c r="O15">
        <v>1.619952530551743E-2</v>
      </c>
      <c r="P15" t="str">
        <v>Local funcId 1690017899200 not found</v>
      </c>
      <c r="Q15" t="e">
        <f t="array" ref="Q15">(1-O15/P15)^2</f>
        <v>#VALUE!</v>
      </c>
      <c r="S15" t="str">
        <f t="shared" si="3"/>
        <v>Local funcId 1690017901696 not found</v>
      </c>
      <c r="Y15">
        <f t="shared" si="8"/>
        <v>820</v>
      </c>
      <c r="Z15">
        <f t="shared" si="4"/>
        <v>13200</v>
      </c>
      <c r="AA15">
        <v>5.091E-3</v>
      </c>
      <c r="AB15" t="str">
        <v>Local funcId 1690017899200 not found</v>
      </c>
      <c r="AC15" t="e">
        <f t="array" ref="AC15">(1-AA15/AB15)^2</f>
        <v>#VALUE!</v>
      </c>
      <c r="AE15" t="str">
        <f t="shared" si="9"/>
        <v>Local funcId 1690017901696 not found</v>
      </c>
      <c r="AG15">
        <v>0.5</v>
      </c>
      <c r="AH15" s="7">
        <f>W3</f>
        <v>1.8518882436874022E-12</v>
      </c>
      <c r="AI15">
        <f t="shared" ref="AI15:AI16" si="12">LOG10(AH15:AH17)</f>
        <v>-11.732385225329208</v>
      </c>
      <c r="AK15">
        <v>783.7</v>
      </c>
      <c r="AL15">
        <f t="shared" si="5"/>
        <v>11014.800000000003</v>
      </c>
      <c r="AM15">
        <v>0.15676525629242483</v>
      </c>
      <c r="AN15" t="str">
        <v>Local funcId 1690017899200 not found</v>
      </c>
      <c r="AO15" t="e">
        <f t="array" ref="AO15">(1-AM15/AN15)^2</f>
        <v>#VALUE!</v>
      </c>
      <c r="AQ15" t="str">
        <f t="array" ref="AQ15">ev_THFaktor($C$79,AM15)</f>
        <v>Local funcId 1690017901696 not found</v>
      </c>
      <c r="AW15">
        <v>783.71</v>
      </c>
      <c r="AX15">
        <f t="shared" si="6"/>
        <v>11014.800000000003</v>
      </c>
      <c r="AY15">
        <v>5.7725569328336487E-2</v>
      </c>
      <c r="AZ15" t="str">
        <v>Local funcId 1690017899200 not found</v>
      </c>
      <c r="BA15" t="e">
        <f t="array" ref="BA15">(1-AY15/AZ15)^2</f>
        <v>#VALUE!</v>
      </c>
      <c r="BC15" t="str">
        <f t="array" ref="BC15">ev_THFaktor($C$80,AY15)</f>
        <v>Local funcId 1690017901696 not found</v>
      </c>
      <c r="BI15">
        <f t="shared" si="10"/>
        <v>820</v>
      </c>
      <c r="BJ15">
        <f t="shared" si="7"/>
        <v>13200</v>
      </c>
      <c r="BK15">
        <v>0.22642999999999999</v>
      </c>
      <c r="BQ15">
        <v>0.3</v>
      </c>
      <c r="BR15" s="7">
        <f>AU4</f>
        <v>1.2198447743462788E-10</v>
      </c>
      <c r="BS15">
        <f>LOG10(BR15:BR17)</f>
        <v>-9.9136954299267952</v>
      </c>
    </row>
    <row r="16" spans="1:71" x14ac:dyDescent="0.25">
      <c r="A16">
        <v>800.26</v>
      </c>
      <c r="B16">
        <f t="shared" si="0"/>
        <v>12010.799999999996</v>
      </c>
      <c r="C16">
        <v>4.951716186807649E-2</v>
      </c>
      <c r="D16" t="str">
        <v>Local funcId 1690017899200 not found</v>
      </c>
      <c r="E16" t="e">
        <f t="array" ref="E16">(1-C16/D16)^2</f>
        <v>#VALUE!</v>
      </c>
      <c r="G16" t="str">
        <f t="shared" si="1"/>
        <v>Local funcId 1690017901696 not found</v>
      </c>
      <c r="M16">
        <v>800.4</v>
      </c>
      <c r="N16">
        <f t="shared" si="2"/>
        <v>12019.199999999997</v>
      </c>
      <c r="O16">
        <v>1.682029489250125E-2</v>
      </c>
      <c r="P16" t="str">
        <v>Local funcId 1690017899200 not found</v>
      </c>
      <c r="Q16" t="e">
        <f t="array" ref="Q16">(1-O16/P16)^2</f>
        <v>#VALUE!</v>
      </c>
      <c r="S16" t="str">
        <f t="shared" si="3"/>
        <v>Local funcId 1690017901696 not found</v>
      </c>
      <c r="Y16">
        <f t="shared" si="8"/>
        <v>840</v>
      </c>
      <c r="Z16">
        <f t="shared" si="4"/>
        <v>14400</v>
      </c>
      <c r="AA16">
        <v>5.2630000000000003E-3</v>
      </c>
      <c r="AB16" t="str">
        <v>Local funcId 1690017899200 not found</v>
      </c>
      <c r="AC16" t="e">
        <f t="array" ref="AC16">(1-AA16/AB16)^2</f>
        <v>#VALUE!</v>
      </c>
      <c r="AE16" t="str">
        <f t="shared" si="9"/>
        <v>Local funcId 1690017901696 not found</v>
      </c>
      <c r="AG16">
        <v>0.7</v>
      </c>
      <c r="AH16" s="7">
        <f>AI4</f>
        <v>2.0699399205899309E-12</v>
      </c>
      <c r="AI16">
        <f t="shared" si="12"/>
        <v>-11.684042259632417</v>
      </c>
      <c r="AK16">
        <v>800.39</v>
      </c>
      <c r="AL16">
        <f t="shared" si="5"/>
        <v>12016.200000000004</v>
      </c>
      <c r="AM16">
        <v>0.16249656310145749</v>
      </c>
      <c r="AN16" t="str">
        <v>Local funcId 1690017899200 not found</v>
      </c>
      <c r="AO16" t="e">
        <f t="array" ref="AO16">(1-AM16/AN16)^2</f>
        <v>#VALUE!</v>
      </c>
      <c r="AQ16" t="str">
        <f t="array" ref="AQ16">ev_THFaktor($C$79,AM16)</f>
        <v>Local funcId 1690017901696 not found</v>
      </c>
      <c r="AW16">
        <v>800.4</v>
      </c>
      <c r="AX16">
        <f t="shared" si="6"/>
        <v>12016.199999999997</v>
      </c>
      <c r="AY16">
        <v>5.9126888942192111E-2</v>
      </c>
      <c r="AZ16" t="str">
        <v>Local funcId 1690017899200 not found</v>
      </c>
      <c r="BA16" t="e">
        <f t="array" ref="BA16">(1-AY16/AZ16)^2</f>
        <v>#VALUE!</v>
      </c>
      <c r="BC16" t="str">
        <f t="array" ref="BC16">ev_THFaktor($C$80,AY16)</f>
        <v>Local funcId 1690017901696 not found</v>
      </c>
      <c r="BI16">
        <f t="shared" si="10"/>
        <v>840</v>
      </c>
      <c r="BJ16">
        <f t="shared" si="7"/>
        <v>14400</v>
      </c>
      <c r="BK16">
        <v>2.34345E-2</v>
      </c>
      <c r="BQ16">
        <v>0.5</v>
      </c>
      <c r="BR16" s="7">
        <f>BG4</f>
        <v>3.0474114695466313E-11</v>
      </c>
      <c r="BS16">
        <f t="shared" ref="BS16:BS17" si="13">LOG10(BR16:BR18)</f>
        <v>-10.516068902229959</v>
      </c>
    </row>
    <row r="17" spans="1:71" x14ac:dyDescent="0.25">
      <c r="A17">
        <v>816.94</v>
      </c>
      <c r="B17">
        <f t="shared" si="0"/>
        <v>13011.599999999999</v>
      </c>
      <c r="C17">
        <v>5.2044692505047237E-2</v>
      </c>
      <c r="D17" t="str">
        <v>Local funcId 1690017899200 not found</v>
      </c>
      <c r="E17" t="e">
        <f t="array" ref="E17">(1-C17/D17)^2</f>
        <v>#VALUE!</v>
      </c>
      <c r="G17" t="str">
        <f t="shared" si="1"/>
        <v>Local funcId 1690017901696 not found</v>
      </c>
      <c r="M17">
        <v>817.09</v>
      </c>
      <c r="N17">
        <f t="shared" si="2"/>
        <v>13020.599999999999</v>
      </c>
      <c r="O17">
        <v>1.7417668070063636E-2</v>
      </c>
      <c r="P17" t="str">
        <v>Local funcId 1690017899200 not found</v>
      </c>
      <c r="Q17" t="e">
        <f t="array" ref="Q17">(1-O17/P17)^2</f>
        <v>#VALUE!</v>
      </c>
      <c r="S17" t="str">
        <f t="shared" si="3"/>
        <v>Local funcId 1690017901696 not found</v>
      </c>
      <c r="Y17">
        <f t="shared" si="8"/>
        <v>860</v>
      </c>
      <c r="Z17">
        <f t="shared" si="4"/>
        <v>15600</v>
      </c>
      <c r="AA17">
        <v>5.424E-3</v>
      </c>
      <c r="AB17" t="str">
        <v>Local funcId 1690017899200 not found</v>
      </c>
      <c r="AC17" t="e">
        <f t="array" ref="AC17">(1-AA17/AB17)^2</f>
        <v>#VALUE!</v>
      </c>
      <c r="AE17" t="str">
        <f t="shared" si="9"/>
        <v>Local funcId 1690017901696 not found</v>
      </c>
      <c r="AG17" t="s">
        <v>92</v>
      </c>
      <c r="AH17" t="s">
        <v>114</v>
      </c>
      <c r="AI17" t="s">
        <v>115</v>
      </c>
      <c r="AK17">
        <v>817.08</v>
      </c>
      <c r="AL17">
        <f t="shared" si="5"/>
        <v>13017.600000000006</v>
      </c>
      <c r="AM17">
        <v>0.16760491020189547</v>
      </c>
      <c r="AN17" t="str">
        <v>Local funcId 1690017899200 not found</v>
      </c>
      <c r="AO17" t="e">
        <f t="array" ref="AO17">(1-AM17/AN17)^2</f>
        <v>#VALUE!</v>
      </c>
      <c r="AQ17" t="str">
        <f t="array" ref="AQ17">ev_THFaktor($C$79,AM17)</f>
        <v>Local funcId 1690017901696 not found</v>
      </c>
      <c r="AW17">
        <v>817.09</v>
      </c>
      <c r="AX17">
        <f t="shared" si="6"/>
        <v>13017.599999999999</v>
      </c>
      <c r="AY17">
        <v>6.0563422447085381E-2</v>
      </c>
      <c r="AZ17" t="str">
        <v>Local funcId 1690017899200 not found</v>
      </c>
      <c r="BA17" t="e">
        <f t="array" ref="BA17">(1-AY17/AZ17)^2</f>
        <v>#VALUE!</v>
      </c>
      <c r="BC17" t="str">
        <f t="array" ref="BC17">ev_THFaktor($C$80,AY17)</f>
        <v>Local funcId 1690017901696 not found</v>
      </c>
      <c r="BI17">
        <f t="shared" si="10"/>
        <v>860</v>
      </c>
      <c r="BJ17">
        <f t="shared" si="7"/>
        <v>15600</v>
      </c>
      <c r="BK17">
        <v>2.4174500000000002E-2</v>
      </c>
      <c r="BQ17">
        <v>0.7</v>
      </c>
      <c r="BR17" s="7">
        <f>BS5</f>
        <v>1E-4</v>
      </c>
      <c r="BS17">
        <f t="shared" si="13"/>
        <v>-4</v>
      </c>
    </row>
    <row r="18" spans="1:71" x14ac:dyDescent="0.25">
      <c r="A18">
        <v>833.62</v>
      </c>
      <c r="B18">
        <f t="shared" si="0"/>
        <v>14012.399999999994</v>
      </c>
      <c r="C18">
        <v>5.446915577920719E-2</v>
      </c>
      <c r="D18" t="str">
        <v>Local funcId 1690017899200 not found</v>
      </c>
      <c r="E18" t="e">
        <f t="array" ref="E18">(1-C18/D18)^2</f>
        <v>#VALUE!</v>
      </c>
      <c r="G18" t="str">
        <f t="shared" si="1"/>
        <v>Local funcId 1690017901696 not found</v>
      </c>
      <c r="M18">
        <v>833.78</v>
      </c>
      <c r="N18">
        <f t="shared" si="2"/>
        <v>14021.999999999993</v>
      </c>
      <c r="O18">
        <v>1.79811876845886E-2</v>
      </c>
      <c r="P18" t="str">
        <v>Local funcId 1690017899200 not found</v>
      </c>
      <c r="Q18" t="e">
        <f t="array" ref="Q18">(1-O18/P18)^2</f>
        <v>#VALUE!</v>
      </c>
      <c r="S18" t="str">
        <f t="shared" si="3"/>
        <v>Local funcId 1690017901696 not found</v>
      </c>
      <c r="Y18">
        <f t="shared" si="8"/>
        <v>880</v>
      </c>
      <c r="Z18">
        <f t="shared" si="4"/>
        <v>16800</v>
      </c>
      <c r="AA18">
        <v>5.5789999999999998E-3</v>
      </c>
      <c r="AB18" t="str">
        <v>Local funcId 1690017899200 not found</v>
      </c>
      <c r="AC18" t="e">
        <f t="array" ref="AC18">(1-AA18/AB18)^2</f>
        <v>#VALUE!</v>
      </c>
      <c r="AE18" t="str">
        <f t="shared" si="9"/>
        <v>Local funcId 1690017901696 not found</v>
      </c>
      <c r="AG18">
        <v>0.3</v>
      </c>
      <c r="AH18" s="7" t="e">
        <f>K7</f>
        <v>#DIV/0!</v>
      </c>
      <c r="AI18" t="e">
        <f>LOG10(AH18)</f>
        <v>#DIV/0!</v>
      </c>
      <c r="AK18">
        <v>833.77</v>
      </c>
      <c r="AL18">
        <f t="shared" si="5"/>
        <v>14019</v>
      </c>
      <c r="AM18">
        <v>0.17209813056170128</v>
      </c>
      <c r="AN18" t="str">
        <v>Local funcId 1690017899200 not found</v>
      </c>
      <c r="AO18" t="e">
        <f t="array" ref="AO18">(1-AM18/AN18)^2</f>
        <v>#VALUE!</v>
      </c>
      <c r="AQ18" t="str">
        <f t="array" ref="AQ18">ev_THFaktor($C$79,AM18)</f>
        <v>Local funcId 1690017901696 not found</v>
      </c>
      <c r="AW18">
        <v>833.77</v>
      </c>
      <c r="AX18">
        <f t="shared" si="6"/>
        <v>14018.399999999994</v>
      </c>
      <c r="AY18">
        <v>6.1939495396388433E-2</v>
      </c>
      <c r="AZ18" t="str">
        <v>Local funcId 1690017899200 not found</v>
      </c>
      <c r="BA18" t="e">
        <f t="array" ref="BA18">(1-AY18/AZ18)^2</f>
        <v>#VALUE!</v>
      </c>
      <c r="BC18" t="str">
        <f t="array" ref="BC18">ev_THFaktor($C$80,AY18)</f>
        <v>Local funcId 1690017901696 not found</v>
      </c>
      <c r="BI18">
        <f t="shared" si="10"/>
        <v>880</v>
      </c>
      <c r="BJ18">
        <f t="shared" si="7"/>
        <v>16800</v>
      </c>
      <c r="BK18">
        <v>2.4871999999999998E-2</v>
      </c>
      <c r="BQ18" t="s">
        <v>92</v>
      </c>
      <c r="BR18" t="s">
        <v>114</v>
      </c>
      <c r="BS18" t="s">
        <v>115</v>
      </c>
    </row>
    <row r="19" spans="1:71" x14ac:dyDescent="0.25">
      <c r="A19">
        <v>850.3</v>
      </c>
      <c r="B19">
        <f t="shared" si="0"/>
        <v>15013.199999999997</v>
      </c>
      <c r="C19">
        <v>5.681154707443082E-2</v>
      </c>
      <c r="D19" t="str">
        <v>Local funcId 1690017899200 not found</v>
      </c>
      <c r="E19" t="e">
        <f t="array" ref="E19">(1-C19/D19)^2</f>
        <v>#VALUE!</v>
      </c>
      <c r="G19" t="str">
        <f t="shared" si="1"/>
        <v>Local funcId 1690017901696 not found</v>
      </c>
      <c r="M19">
        <v>850.47</v>
      </c>
      <c r="N19">
        <f t="shared" si="2"/>
        <v>15023.400000000001</v>
      </c>
      <c r="O19">
        <v>1.8521498578511392E-2</v>
      </c>
      <c r="P19" t="str">
        <v>Local funcId 1690017899200 not found</v>
      </c>
      <c r="Q19" t="e">
        <f t="array" ref="Q19">(1-O19/P19)^2</f>
        <v>#VALUE!</v>
      </c>
      <c r="S19" t="str">
        <f t="shared" si="3"/>
        <v>Local funcId 1690017901696 not found</v>
      </c>
      <c r="Y19">
        <f t="shared" si="8"/>
        <v>900</v>
      </c>
      <c r="Z19">
        <f t="shared" si="4"/>
        <v>18000</v>
      </c>
      <c r="AA19">
        <v>5.7270000000000003E-3</v>
      </c>
      <c r="AB19" t="str">
        <v>Local funcId 1690017899200 not found</v>
      </c>
      <c r="AC19" t="e">
        <f t="array" ref="AC19">(1-AA19/AB19)^2</f>
        <v>#VALUE!</v>
      </c>
      <c r="AE19" t="str">
        <f t="shared" si="9"/>
        <v>Local funcId 1690017901696 not found</v>
      </c>
      <c r="AG19">
        <v>0.5</v>
      </c>
      <c r="AH19" s="7" t="e">
        <f>W7</f>
        <v>#DIV/0!</v>
      </c>
      <c r="AI19" t="e">
        <f t="shared" ref="AI19:AI20" si="14">LOG10(AH19)</f>
        <v>#DIV/0!</v>
      </c>
      <c r="AK19">
        <v>850.46</v>
      </c>
      <c r="AL19">
        <f t="shared" si="5"/>
        <v>15020.400000000009</v>
      </c>
      <c r="AM19">
        <v>0.17606643403933026</v>
      </c>
      <c r="AN19" t="str">
        <v>Local funcId 1690017899200 not found</v>
      </c>
      <c r="AO19" t="e">
        <f t="array" ref="AO19">(1-AM19/AN19)^2</f>
        <v>#VALUE!</v>
      </c>
      <c r="AQ19" t="str">
        <f t="array" ref="AQ19">ev_THFaktor($C$79,AM19)</f>
        <v>Local funcId 1690017901696 not found</v>
      </c>
      <c r="AW19">
        <v>850.46</v>
      </c>
      <c r="AX19">
        <f t="shared" si="6"/>
        <v>15019.800000000003</v>
      </c>
      <c r="AY19">
        <v>6.3143752798924965E-2</v>
      </c>
      <c r="AZ19" t="str">
        <v>Local funcId 1690017899200 not found</v>
      </c>
      <c r="BA19" t="e">
        <f t="array" ref="BA19">(1-AY19/AZ19)^2</f>
        <v>#VALUE!</v>
      </c>
      <c r="BC19" t="str">
        <f t="array" ref="BC19">ev_THFaktor($C$80,AY19)</f>
        <v>Local funcId 1690017901696 not found</v>
      </c>
      <c r="BI19">
        <f t="shared" si="10"/>
        <v>900</v>
      </c>
      <c r="BJ19">
        <f t="shared" si="7"/>
        <v>18000</v>
      </c>
      <c r="BK19">
        <v>2.55435E-2</v>
      </c>
      <c r="BQ19">
        <v>0.3</v>
      </c>
      <c r="BR19" s="7" t="e">
        <f>AU8</f>
        <v>#DIV/0!</v>
      </c>
      <c r="BS19" t="e">
        <f>LOG10(BR19)</f>
        <v>#DIV/0!</v>
      </c>
    </row>
    <row r="20" spans="1:71" x14ac:dyDescent="0.25">
      <c r="A20">
        <v>866.99</v>
      </c>
      <c r="B20">
        <f t="shared" si="0"/>
        <v>16014.599999999999</v>
      </c>
      <c r="C20">
        <v>5.9064668106848697E-2</v>
      </c>
      <c r="D20" t="str">
        <v>Local funcId 1690017899200 not found</v>
      </c>
      <c r="E20" t="e">
        <f t="array" ref="E20">(1-C20/D20)^2</f>
        <v>#VALUE!</v>
      </c>
      <c r="G20" t="str">
        <f t="shared" si="1"/>
        <v>Local funcId 1690017901696 not found</v>
      </c>
      <c r="M20">
        <v>867.16</v>
      </c>
      <c r="N20">
        <f t="shared" si="2"/>
        <v>16024.799999999996</v>
      </c>
      <c r="O20">
        <v>1.9040178913346643E-2</v>
      </c>
      <c r="P20" t="str">
        <v>Local funcId 1690017899200 not found</v>
      </c>
      <c r="Q20" t="e">
        <f t="array" ref="Q20">(1-O20/P20)^2</f>
        <v>#VALUE!</v>
      </c>
      <c r="S20" t="str">
        <f t="shared" si="3"/>
        <v>Local funcId 1690017901696 not found</v>
      </c>
      <c r="AB20" t="str">
        <v>Local funcId 1690017899200 not found</v>
      </c>
      <c r="AC20" t="e">
        <f t="array" ref="AC20">(1-AA20/AB20)^2</f>
        <v>#VALUE!</v>
      </c>
      <c r="AE20" t="str">
        <f t="shared" si="9"/>
        <v>Local funcId 1690017901696 not found</v>
      </c>
      <c r="AG20">
        <v>0.7</v>
      </c>
      <c r="AH20" s="7" t="e">
        <f>AI8</f>
        <v>#DIV/0!</v>
      </c>
      <c r="AI20" t="e">
        <f t="shared" si="14"/>
        <v>#DIV/0!</v>
      </c>
      <c r="AK20">
        <v>867.15</v>
      </c>
      <c r="AL20">
        <f t="shared" si="5"/>
        <v>16021.800000000003</v>
      </c>
      <c r="AM20">
        <v>0.17955071917254778</v>
      </c>
      <c r="AN20" t="str">
        <v>Local funcId 1690017899200 not found</v>
      </c>
      <c r="AO20" t="e">
        <f t="array" ref="AO20">(1-AM20/AN20)^2</f>
        <v>#VALUE!</v>
      </c>
      <c r="AQ20" t="str">
        <f t="array" ref="AQ20">ev_THFaktor($C$79,AM20)</f>
        <v>Local funcId 1690017901696 not found</v>
      </c>
      <c r="AW20">
        <v>867.15</v>
      </c>
      <c r="AX20">
        <f t="shared" si="6"/>
        <v>16021.199999999997</v>
      </c>
      <c r="AY20">
        <v>6.4294702440944262E-2</v>
      </c>
      <c r="AZ20" t="str">
        <v>Local funcId 1690017899200 not found</v>
      </c>
      <c r="BA20" t="e">
        <f t="array" ref="BA20">(1-AY20/AZ20)^2</f>
        <v>#VALUE!</v>
      </c>
      <c r="BC20" t="str">
        <f t="array" ref="BC20">ev_THFaktor($C$80,AY20)</f>
        <v>Local funcId 1690017901696 not found</v>
      </c>
      <c r="BQ20">
        <v>0.5</v>
      </c>
      <c r="BR20" s="7" t="e">
        <f>BG8</f>
        <v>#DIV/0!</v>
      </c>
      <c r="BS20" t="e">
        <f t="shared" ref="BS20:BS21" si="15">LOG10(BR20)</f>
        <v>#DIV/0!</v>
      </c>
    </row>
    <row r="21" spans="1:71" x14ac:dyDescent="0.25">
      <c r="A21">
        <v>883.67</v>
      </c>
      <c r="B21">
        <f t="shared" si="0"/>
        <v>17015.399999999994</v>
      </c>
      <c r="C21">
        <v>6.1244906065643666E-2</v>
      </c>
      <c r="D21" t="str">
        <v>Local funcId 1690017899200 not found</v>
      </c>
      <c r="E21" t="e">
        <f t="array" ref="E21">(1-C21/D21)^2</f>
        <v>#VALUE!</v>
      </c>
      <c r="G21" t="str">
        <f t="shared" si="1"/>
        <v>Local funcId 1690017901696 not found</v>
      </c>
      <c r="M21">
        <v>883.85</v>
      </c>
      <c r="N21">
        <f t="shared" si="2"/>
        <v>17026.199999999997</v>
      </c>
      <c r="O21">
        <v>1.954179960928663E-2</v>
      </c>
      <c r="P21" t="str">
        <v>Local funcId 1690017899200 not found</v>
      </c>
      <c r="Q21" t="e">
        <f t="array" ref="Q21">(1-O21/P21)^2</f>
        <v>#VALUE!</v>
      </c>
      <c r="S21" t="str">
        <f t="shared" si="3"/>
        <v>Local funcId 1690017901696 not found</v>
      </c>
      <c r="AB21" t="str">
        <v>Local funcId 1690017899200 not found</v>
      </c>
      <c r="AC21" t="e">
        <f t="array" ref="AC21">(1-AA21/AB21)^2</f>
        <v>#VALUE!</v>
      </c>
      <c r="AE21" t="str">
        <f t="shared" si="9"/>
        <v>Local funcId 1690017901696 not found</v>
      </c>
      <c r="AK21">
        <v>883.84</v>
      </c>
      <c r="AL21">
        <f t="shared" si="5"/>
        <v>17023.200000000004</v>
      </c>
      <c r="AM21">
        <v>0.18263296302259427</v>
      </c>
      <c r="AN21" t="str">
        <v>Local funcId 1690017899200 not found</v>
      </c>
      <c r="AO21" t="e">
        <f t="array" ref="AO21">(1-AM21/AN21)^2</f>
        <v>#VALUE!</v>
      </c>
      <c r="AQ21" t="str">
        <f t="array" ref="AQ21">ev_THFaktor($C$79,AM21)</f>
        <v>Local funcId 1690017901696 not found</v>
      </c>
      <c r="AW21">
        <v>883.84</v>
      </c>
      <c r="AX21">
        <f t="shared" si="6"/>
        <v>17022.599999999999</v>
      </c>
      <c r="AY21">
        <v>6.555971127045751E-2</v>
      </c>
      <c r="AZ21" t="str">
        <v>Local funcId 1690017899200 not found</v>
      </c>
      <c r="BA21" t="e">
        <f t="array" ref="BA21">(1-AY21/AZ21)^2</f>
        <v>#VALUE!</v>
      </c>
      <c r="BC21" t="str">
        <f t="array" ref="BC21">ev_THFaktor($C$80,AY21)</f>
        <v>Local funcId 1690017901696 not found</v>
      </c>
      <c r="BQ21">
        <v>0.7</v>
      </c>
      <c r="BR21" s="7">
        <f>BS9</f>
        <v>0</v>
      </c>
      <c r="BS21" t="e">
        <f t="shared" si="15"/>
        <v>#NUM!</v>
      </c>
    </row>
    <row r="22" spans="1:71" x14ac:dyDescent="0.25">
      <c r="A22">
        <v>900.35</v>
      </c>
      <c r="B22">
        <f t="shared" si="0"/>
        <v>18016.199999999997</v>
      </c>
      <c r="C22">
        <v>6.3362822505713581E-2</v>
      </c>
      <c r="D22" t="str">
        <v>Local funcId 1690017899200 not found</v>
      </c>
      <c r="E22" t="e">
        <f t="array" ref="E22">(1-C22/D22)^2</f>
        <v>#VALUE!</v>
      </c>
      <c r="G22" t="str">
        <f t="shared" si="1"/>
        <v>Local funcId 1690017901696 not found</v>
      </c>
      <c r="M22">
        <v>900.54</v>
      </c>
      <c r="N22">
        <f t="shared" si="2"/>
        <v>18027.599999999991</v>
      </c>
      <c r="O22">
        <v>2.0020413690945326E-2</v>
      </c>
      <c r="P22" t="str">
        <v>Local funcId 1690017899200 not found</v>
      </c>
      <c r="Q22" t="e">
        <f t="array" ref="Q22">(1-O22/P22)^2</f>
        <v>#VALUE!</v>
      </c>
      <c r="S22" t="str">
        <f t="shared" si="3"/>
        <v>Local funcId 1690017901696 not found</v>
      </c>
      <c r="AB22" t="str">
        <v>Local funcId 1690017899200 not found</v>
      </c>
      <c r="AC22" t="e">
        <f t="array" ref="AC22">(1-AA22/AB22)^2</f>
        <v>#VALUE!</v>
      </c>
      <c r="AE22" t="str">
        <f t="shared" si="9"/>
        <v>Local funcId 1690017901696 not found</v>
      </c>
      <c r="AK22">
        <v>900.53</v>
      </c>
      <c r="AL22">
        <f t="shared" si="5"/>
        <v>18024.599999999999</v>
      </c>
      <c r="AM22">
        <v>0.18535238991826791</v>
      </c>
      <c r="AN22" t="str">
        <v>Local funcId 1690017899200 not found</v>
      </c>
      <c r="AO22" t="e">
        <f t="array" ref="AO22">(1-AM22/AN22)^2</f>
        <v>#VALUE!</v>
      </c>
      <c r="AQ22" t="str">
        <f t="array" ref="AQ22">ev_THFaktor($C$79,AM22)</f>
        <v>Local funcId 1690017901696 not found</v>
      </c>
      <c r="AW22">
        <v>900.53</v>
      </c>
      <c r="AX22">
        <f t="shared" si="6"/>
        <v>18023.999999999993</v>
      </c>
      <c r="AY22">
        <v>6.6560373137879686E-2</v>
      </c>
      <c r="AZ22" t="str">
        <v>Local funcId 1690017899200 not found</v>
      </c>
      <c r="BA22" t="e">
        <f t="array" ref="BA22">(1-AY22/AZ22)^2</f>
        <v>#VALUE!</v>
      </c>
      <c r="BC22" t="str">
        <f t="array" ref="BC22">ev_THFaktor($C$80,AY22)</f>
        <v>Local funcId 1690017901696 not found</v>
      </c>
    </row>
    <row r="23" spans="1:71" x14ac:dyDescent="0.25">
      <c r="A23">
        <v>917.03</v>
      </c>
      <c r="B23">
        <f t="shared" si="0"/>
        <v>19016.999999999993</v>
      </c>
      <c r="C23">
        <v>6.5412347805454574E-2</v>
      </c>
      <c r="D23" t="str">
        <v>Local funcId 1690017899200 not found</v>
      </c>
      <c r="E23" t="e">
        <f t="array" ref="E23">(1-C23/D23)^2</f>
        <v>#VALUE!</v>
      </c>
      <c r="G23" t="str">
        <f t="shared" si="1"/>
        <v>Local funcId 1690017901696 not found</v>
      </c>
      <c r="M23">
        <v>917.23</v>
      </c>
      <c r="N23">
        <f t="shared" si="2"/>
        <v>19029</v>
      </c>
      <c r="O23">
        <v>2.048507708097224E-2</v>
      </c>
      <c r="P23" t="str">
        <v>Local funcId 1690017899200 not found</v>
      </c>
      <c r="Q23" t="e">
        <f t="array" ref="Q23">(1-O23/P23)^2</f>
        <v>#VALUE!</v>
      </c>
      <c r="S23" t="str">
        <f t="shared" si="3"/>
        <v>Local funcId 1690017901696 not found</v>
      </c>
      <c r="AB23" t="str">
        <v>Local funcId 1690017899200 not found</v>
      </c>
      <c r="AC23" t="e">
        <f t="array" ref="AC23">(1-AA23/AB23)^2</f>
        <v>#VALUE!</v>
      </c>
      <c r="AE23" t="str">
        <f t="shared" si="9"/>
        <v>Local funcId 1690017901696 not found</v>
      </c>
      <c r="AK23">
        <v>917.21</v>
      </c>
      <c r="AL23">
        <f t="shared" si="5"/>
        <v>19025.400000000009</v>
      </c>
      <c r="AM23">
        <v>0.18775932503493228</v>
      </c>
      <c r="AN23" t="str">
        <v>Local funcId 1690017899200 not found</v>
      </c>
      <c r="AO23" t="e">
        <f t="array" ref="AO23">(1-AM23/AN23)^2</f>
        <v>#VALUE!</v>
      </c>
      <c r="AQ23" t="str">
        <f t="array" ref="AQ23">ev_THFaktor($C$79,AM23)</f>
        <v>Local funcId 1690017901696 not found</v>
      </c>
      <c r="AW23">
        <v>917.22</v>
      </c>
      <c r="AX23">
        <f t="shared" si="6"/>
        <v>19025.400000000001</v>
      </c>
      <c r="AY23">
        <v>6.7603223276046343E-2</v>
      </c>
      <c r="AZ23" t="str">
        <v>Local funcId 1690017899200 not found</v>
      </c>
      <c r="BA23" t="e">
        <f t="array" ref="BA23">(1-AY23/AZ23)^2</f>
        <v>#VALUE!</v>
      </c>
      <c r="BC23" t="str">
        <f t="array" ref="BC23">ev_THFaktor($C$80,AY23)</f>
        <v>Local funcId 1690017901696 not found</v>
      </c>
    </row>
    <row r="24" spans="1:71" x14ac:dyDescent="0.25">
      <c r="A24">
        <v>933.72</v>
      </c>
      <c r="B24">
        <f t="shared" si="0"/>
        <v>20018.400000000001</v>
      </c>
      <c r="C24">
        <v>6.7403857536841347E-2</v>
      </c>
      <c r="D24" t="str">
        <v>Local funcId 1690017899200 not found</v>
      </c>
      <c r="E24" t="e">
        <f t="array" ref="E24">(1-C24/D24)^2</f>
        <v>#VALUE!</v>
      </c>
      <c r="G24" t="str">
        <f t="shared" si="1"/>
        <v>Local funcId 1690017901696 not found</v>
      </c>
      <c r="M24">
        <v>933.91</v>
      </c>
      <c r="N24">
        <f t="shared" si="2"/>
        <v>20029.799999999996</v>
      </c>
      <c r="O24">
        <v>2.0938822435850477E-2</v>
      </c>
      <c r="P24" t="str">
        <v>Local funcId 1690017899200 not found</v>
      </c>
      <c r="Q24" t="e">
        <f t="array" ref="Q24">(1-O24/P24)^2</f>
        <v>#VALUE!</v>
      </c>
      <c r="S24" t="str">
        <f t="shared" si="3"/>
        <v>Local funcId 1690017901696 not found</v>
      </c>
      <c r="AB24" t="str">
        <v>Local funcId 1690017899200 not found</v>
      </c>
      <c r="AC24" t="e">
        <f t="array" ref="AC24">(1-AA24/AB24)^2</f>
        <v>#VALUE!</v>
      </c>
      <c r="AE24" t="str">
        <f t="shared" si="9"/>
        <v>Local funcId 1690017901696 not found</v>
      </c>
      <c r="AK24">
        <v>933.9</v>
      </c>
      <c r="AL24">
        <f t="shared" si="5"/>
        <v>20026.800000000003</v>
      </c>
      <c r="AM24">
        <v>0.1898806895854723</v>
      </c>
      <c r="AN24" t="str">
        <v>Local funcId 1690017899200 not found</v>
      </c>
      <c r="AO24" t="e">
        <f t="array" ref="AO24">(1-AM24/AN24)^2</f>
        <v>#VALUE!</v>
      </c>
      <c r="AQ24" t="str">
        <f t="array" ref="AQ24">ev_THFaktor($C$79,AM24)</f>
        <v>Local funcId 1690017901696 not found</v>
      </c>
      <c r="AW24">
        <v>933.91</v>
      </c>
      <c r="AX24">
        <f t="shared" si="6"/>
        <v>20026.799999999996</v>
      </c>
      <c r="AY24">
        <v>6.8649274329979096E-2</v>
      </c>
      <c r="AZ24" t="str">
        <v>Local funcId 1690017899200 not found</v>
      </c>
      <c r="BA24" t="e">
        <f t="array" ref="BA24">(1-AY24/AZ24)^2</f>
        <v>#VALUE!</v>
      </c>
      <c r="BC24" t="str">
        <f t="array" ref="BC24">ev_THFaktor($C$80,AY24)</f>
        <v>Local funcId 1690017901696 not found</v>
      </c>
    </row>
    <row r="25" spans="1:71" x14ac:dyDescent="0.25">
      <c r="A25">
        <v>950.4</v>
      </c>
      <c r="B25">
        <f t="shared" si="0"/>
        <v>21019.199999999997</v>
      </c>
      <c r="C25">
        <v>6.9342107566025574E-2</v>
      </c>
      <c r="D25" t="str">
        <v>Local funcId 1690017899200 not found</v>
      </c>
      <c r="E25" t="e">
        <f t="array" ref="E25">(1-C25/D25)^2</f>
        <v>#VALUE!</v>
      </c>
      <c r="G25" t="str">
        <f t="shared" si="1"/>
        <v>Local funcId 1690017901696 not found</v>
      </c>
      <c r="M25">
        <v>950.6</v>
      </c>
      <c r="N25">
        <f t="shared" si="2"/>
        <v>21031.199999999997</v>
      </c>
      <c r="O25">
        <v>2.1372706628809322E-2</v>
      </c>
      <c r="P25" t="str">
        <v>Local funcId 1690017899200 not found</v>
      </c>
      <c r="Q25" t="e">
        <f t="array" ref="Q25">(1-O25/P25)^2</f>
        <v>#VALUE!</v>
      </c>
      <c r="S25" t="str">
        <f t="shared" si="3"/>
        <v>Local funcId 1690017901696 not found</v>
      </c>
      <c r="AB25" t="str">
        <v>Local funcId 1690017899200 not found</v>
      </c>
      <c r="AC25" t="e">
        <f t="array" ref="AC25">(1-AA25/AB25)^2</f>
        <v>#VALUE!</v>
      </c>
      <c r="AE25" t="str">
        <f t="shared" si="9"/>
        <v>Local funcId 1690017901696 not found</v>
      </c>
      <c r="AK25">
        <v>950.59</v>
      </c>
      <c r="AL25">
        <f t="shared" si="5"/>
        <v>21028.200000000004</v>
      </c>
      <c r="AM25">
        <v>0.19182378256186017</v>
      </c>
      <c r="AN25" t="str">
        <v>Local funcId 1690017899200 not found</v>
      </c>
      <c r="AO25" t="e">
        <f t="array" ref="AO25">(1-AM25/AN25)^2</f>
        <v>#VALUE!</v>
      </c>
      <c r="AQ25" t="str">
        <f t="array" ref="AQ25">ev_THFaktor($C$79,AM25)</f>
        <v>Local funcId 1690017901696 not found</v>
      </c>
      <c r="AW25">
        <v>950.59</v>
      </c>
      <c r="AX25">
        <f t="shared" si="6"/>
        <v>21027.599999999999</v>
      </c>
      <c r="AY25">
        <v>6.9577129031683962E-2</v>
      </c>
      <c r="AZ25" t="str">
        <v>Local funcId 1690017899200 not found</v>
      </c>
      <c r="BA25" t="e">
        <f t="array" ref="BA25">(1-AY25/AZ25)^2</f>
        <v>#VALUE!</v>
      </c>
      <c r="BC25" t="str">
        <f t="array" ref="BC25">ev_THFaktor($C$80,AY25)</f>
        <v>Local funcId 1690017901696 not found</v>
      </c>
    </row>
    <row r="26" spans="1:71" x14ac:dyDescent="0.25">
      <c r="A26">
        <v>967.08</v>
      </c>
      <c r="B26">
        <f t="shared" si="0"/>
        <v>22020</v>
      </c>
      <c r="C26">
        <v>7.1227708591689601E-2</v>
      </c>
      <c r="D26" t="str">
        <v>Local funcId 1690017899200 not found</v>
      </c>
      <c r="E26" t="e">
        <f t="array" ref="E26">(1-C26/D26)^2</f>
        <v>#VALUE!</v>
      </c>
      <c r="G26" t="str">
        <f t="shared" si="1"/>
        <v>Local funcId 1690017901696 not found</v>
      </c>
      <c r="M26">
        <v>967.29</v>
      </c>
      <c r="N26">
        <f t="shared" si="2"/>
        <v>22032.599999999991</v>
      </c>
      <c r="O26">
        <v>2.1795747163833985E-2</v>
      </c>
      <c r="P26" t="str">
        <v>Local funcId 1690017899200 not found</v>
      </c>
      <c r="Q26" t="e">
        <f t="array" ref="Q26">(1-O26/P26)^2</f>
        <v>#VALUE!</v>
      </c>
      <c r="S26" t="str">
        <f t="shared" si="3"/>
        <v>Local funcId 1690017901696 not found</v>
      </c>
      <c r="AB26" t="str">
        <v>Local funcId 1690017899200 not found</v>
      </c>
      <c r="AC26" t="e">
        <f t="array" ref="AC26">(1-AA26/AB26)^2</f>
        <v>#VALUE!</v>
      </c>
      <c r="AE26" t="str">
        <f t="shared" si="9"/>
        <v>Local funcId 1690017901696 not found</v>
      </c>
      <c r="AK26">
        <v>967.28</v>
      </c>
      <c r="AL26">
        <f t="shared" si="5"/>
        <v>22029.599999999999</v>
      </c>
      <c r="AM26">
        <v>0.19349286958732043</v>
      </c>
      <c r="AN26" t="str">
        <v>Local funcId 1690017899200 not found</v>
      </c>
      <c r="AO26" t="e">
        <f t="array" ref="AO26">(1-AM26/AN26)^2</f>
        <v>#VALUE!</v>
      </c>
      <c r="AQ26" t="str">
        <f t="array" ref="AQ26">ev_THFaktor($C$79,AM26)</f>
        <v>Local funcId 1690017901696 not found</v>
      </c>
      <c r="AW26">
        <v>967.28</v>
      </c>
      <c r="AX26">
        <f t="shared" si="6"/>
        <v>22028.999999999993</v>
      </c>
      <c r="AY26">
        <v>7.0563704002084782E-2</v>
      </c>
      <c r="AZ26" t="str">
        <v>Local funcId 1690017899200 not found</v>
      </c>
      <c r="BA26" t="e">
        <f t="array" ref="BA26">(1-AY26/AZ26)^2</f>
        <v>#VALUE!</v>
      </c>
      <c r="BC26" t="str">
        <f t="array" ref="BC26">ev_THFaktor($C$80,AY26)</f>
        <v>Local funcId 1690017901696 not found</v>
      </c>
    </row>
    <row r="27" spans="1:71" x14ac:dyDescent="0.25">
      <c r="A27">
        <v>983.77</v>
      </c>
      <c r="B27">
        <f t="shared" si="0"/>
        <v>23021.399999999994</v>
      </c>
      <c r="C27">
        <v>7.3063944206613399E-2</v>
      </c>
      <c r="D27" t="str">
        <v>Local funcId 1690017899200 not found</v>
      </c>
      <c r="E27" t="e">
        <f t="array" ref="E27">(1-C27/D27)^2</f>
        <v>#VALUE!</v>
      </c>
      <c r="G27" t="str">
        <f t="shared" si="1"/>
        <v>Local funcId 1690017901696 not found</v>
      </c>
      <c r="M27">
        <v>983.98</v>
      </c>
      <c r="N27">
        <f t="shared" si="2"/>
        <v>23034</v>
      </c>
      <c r="O27">
        <v>2.2207971661742737E-2</v>
      </c>
      <c r="P27" t="str">
        <v>Local funcId 1690017899200 not found</v>
      </c>
      <c r="Q27" t="e">
        <f t="array" ref="Q27">(1-O27/P27)^2</f>
        <v>#VALUE!</v>
      </c>
      <c r="S27" t="str">
        <f t="shared" si="3"/>
        <v>Local funcId 1690017901696 not found</v>
      </c>
      <c r="AB27" t="str">
        <v>Local funcId 1690017899200 not found</v>
      </c>
      <c r="AC27" t="e">
        <f t="array" ref="AC27">(1-AA27/AB27)^2</f>
        <v>#VALUE!</v>
      </c>
      <c r="AE27" t="str">
        <f t="shared" si="9"/>
        <v>Local funcId 1690017901696 not found</v>
      </c>
      <c r="AK27">
        <v>983.97</v>
      </c>
      <c r="AL27">
        <f t="shared" si="5"/>
        <v>23031.000000000007</v>
      </c>
      <c r="AM27">
        <v>0.19498916433215285</v>
      </c>
      <c r="AN27" t="str">
        <v>Local funcId 1690017899200 not found</v>
      </c>
      <c r="AO27" t="e">
        <f t="array" ref="AO27">(1-AM27/AN27)^2</f>
        <v>#VALUE!</v>
      </c>
      <c r="AQ27" t="str">
        <f t="array" ref="AQ27">ev_THFaktor($C$79,AM27)</f>
        <v>Local funcId 1690017901696 not found</v>
      </c>
      <c r="AW27">
        <v>983.97</v>
      </c>
      <c r="AX27">
        <f t="shared" si="6"/>
        <v>23030.400000000001</v>
      </c>
      <c r="AY27">
        <v>7.1476760288321395E-2</v>
      </c>
      <c r="AZ27" t="str">
        <v>Local funcId 1690017899200 not found</v>
      </c>
      <c r="BA27" t="e">
        <f t="array" ref="BA27">(1-AY27/AZ27)^2</f>
        <v>#VALUE!</v>
      </c>
      <c r="BC27" t="str">
        <f t="array" ref="BC27">ev_THFaktor($C$80,AY27)</f>
        <v>Local funcId 1690017901696 not found</v>
      </c>
    </row>
    <row r="28" spans="1:71" x14ac:dyDescent="0.25">
      <c r="A28">
        <v>1000.45</v>
      </c>
      <c r="B28">
        <f t="shared" si="0"/>
        <v>24022.199999999997</v>
      </c>
      <c r="C28">
        <v>7.4852695555349416E-2</v>
      </c>
      <c r="D28" t="str">
        <v>Local funcId 1690017899200 not found</v>
      </c>
      <c r="E28" t="e">
        <f t="array" ref="E28">(1-C28/D28)^2</f>
        <v>#VALUE!</v>
      </c>
      <c r="G28" t="str">
        <f t="shared" si="1"/>
        <v>Local funcId 1690017901696 not found</v>
      </c>
      <c r="M28">
        <v>1000.67</v>
      </c>
      <c r="N28">
        <f t="shared" si="2"/>
        <v>24035.399999999994</v>
      </c>
      <c r="O28">
        <v>2.2603440118435441E-2</v>
      </c>
      <c r="P28" t="str">
        <v>Local funcId 1690017899200 not found</v>
      </c>
      <c r="Q28" t="e">
        <f t="array" ref="Q28">(1-O28/P28)^2</f>
        <v>#VALUE!</v>
      </c>
      <c r="S28" t="str">
        <f t="shared" si="3"/>
        <v>Local funcId 1690017901696 not found</v>
      </c>
      <c r="AB28" t="str">
        <v>Local funcId 1690017899200 not found</v>
      </c>
      <c r="AC28" t="e">
        <f t="array" ref="AC28">(1-AA28/AB28)^2</f>
        <v>#VALUE!</v>
      </c>
      <c r="AE28" t="str">
        <f t="shared" si="9"/>
        <v>Local funcId 1690017901696 not found</v>
      </c>
      <c r="AK28">
        <v>1000.66</v>
      </c>
      <c r="AL28">
        <f t="shared" si="5"/>
        <v>24032.400000000001</v>
      </c>
      <c r="AM28">
        <v>0.19633999620068826</v>
      </c>
      <c r="AN28" t="str">
        <v>Local funcId 1690017899200 not found</v>
      </c>
      <c r="AO28" t="e">
        <f t="array" ref="AO28">(1-AM28/AN28)^2</f>
        <v>#VALUE!</v>
      </c>
      <c r="AQ28" t="str">
        <f t="array" ref="AQ28">ev_THFaktor($C$79,AM28)</f>
        <v>Local funcId 1690017901696 not found</v>
      </c>
      <c r="AW28">
        <v>1000.66</v>
      </c>
      <c r="AX28">
        <f t="shared" si="6"/>
        <v>24031.799999999996</v>
      </c>
      <c r="AY28">
        <v>7.227832832714412E-2</v>
      </c>
      <c r="AZ28" t="str">
        <v>Local funcId 1690017899200 not found</v>
      </c>
      <c r="BA28" t="e">
        <f t="array" ref="BA28">(1-AY28/AZ28)^2</f>
        <v>#VALUE!</v>
      </c>
      <c r="BC28" t="str">
        <f t="array" ref="BC28">ev_THFaktor($C$80,AY28)</f>
        <v>Local funcId 1690017901696 not found</v>
      </c>
    </row>
    <row r="29" spans="1:71" x14ac:dyDescent="0.25">
      <c r="A29">
        <v>1017.13</v>
      </c>
      <c r="B29">
        <f t="shared" si="0"/>
        <v>25023</v>
      </c>
      <c r="C29">
        <v>7.6593133708040773E-2</v>
      </c>
      <c r="D29" t="str">
        <v>Local funcId 1690017899200 not found</v>
      </c>
      <c r="E29" t="e">
        <f t="array" ref="E29">(1-C29/D29)^2</f>
        <v>#VALUE!</v>
      </c>
      <c r="G29" t="str">
        <f t="shared" si="1"/>
        <v>Local funcId 1690017901696 not found</v>
      </c>
      <c r="M29">
        <v>1017.36</v>
      </c>
      <c r="N29">
        <f t="shared" si="2"/>
        <v>25036.799999999996</v>
      </c>
      <c r="O29">
        <v>2.2994117216296215E-2</v>
      </c>
      <c r="P29" t="str">
        <v>Local funcId 1690017899200 not found</v>
      </c>
      <c r="Q29" t="e">
        <f t="array" ref="Q29">(1-O29/P29)^2</f>
        <v>#VALUE!</v>
      </c>
      <c r="S29" t="str">
        <f t="shared" si="3"/>
        <v>Local funcId 1690017901696 not found</v>
      </c>
      <c r="AB29" t="str">
        <v>Local funcId 1690017899200 not found</v>
      </c>
      <c r="AC29" t="e">
        <f t="array" ref="AC29">(1-AA29/AB29)^2</f>
        <v>#VALUE!</v>
      </c>
      <c r="AE29" t="str">
        <f t="shared" si="9"/>
        <v>Local funcId 1690017901696 not found</v>
      </c>
      <c r="AK29">
        <v>1017.35</v>
      </c>
      <c r="AL29">
        <f t="shared" si="5"/>
        <v>25033.800000000003</v>
      </c>
      <c r="AM29">
        <v>0.19755102901040081</v>
      </c>
      <c r="AN29" t="str">
        <v>Local funcId 1690017899200 not found</v>
      </c>
      <c r="AO29" t="e">
        <f t="array" ref="AO29">(1-AM29/AN29)^2</f>
        <v>#VALUE!</v>
      </c>
      <c r="AQ29" t="str">
        <f t="array" ref="AQ29">ev_THFaktor($C$79,AM29)</f>
        <v>Local funcId 1690017901696 not found</v>
      </c>
      <c r="AW29">
        <v>1017.35</v>
      </c>
      <c r="AX29">
        <f t="shared" si="6"/>
        <v>25033.199999999997</v>
      </c>
      <c r="AY29">
        <v>7.3209918839415161E-2</v>
      </c>
      <c r="AZ29" t="str">
        <v>Local funcId 1690017899200 not found</v>
      </c>
      <c r="BA29" t="e">
        <f t="array" ref="BA29">(1-AY29/AZ29)^2</f>
        <v>#VALUE!</v>
      </c>
      <c r="BC29" t="str">
        <f t="array" ref="BC29">ev_THFaktor($C$80,AY29)</f>
        <v>Local funcId 1690017901696 not found</v>
      </c>
    </row>
    <row r="30" spans="1:71" x14ac:dyDescent="0.25">
      <c r="A30">
        <v>1033.81</v>
      </c>
      <c r="B30">
        <f t="shared" si="0"/>
        <v>26023.799999999996</v>
      </c>
      <c r="C30">
        <v>7.8292421515465907E-2</v>
      </c>
      <c r="D30" t="str">
        <v>Local funcId 1690017899200 not found</v>
      </c>
      <c r="E30" t="e">
        <f t="array" ref="E30">(1-C30/D30)^2</f>
        <v>#VALUE!</v>
      </c>
      <c r="G30" t="str">
        <f t="shared" si="1"/>
        <v>Local funcId 1690017901696 not found</v>
      </c>
      <c r="M30">
        <v>1034.05</v>
      </c>
      <c r="N30">
        <f t="shared" si="2"/>
        <v>26038.199999999997</v>
      </c>
      <c r="O30">
        <v>2.3371077814632851E-2</v>
      </c>
      <c r="P30" t="str">
        <v>Local funcId 1690017899200 not found</v>
      </c>
      <c r="Q30" t="e">
        <f t="array" ref="Q30">(1-O30/P30)^2</f>
        <v>#VALUE!</v>
      </c>
      <c r="S30" t="str">
        <f t="shared" si="3"/>
        <v>Local funcId 1690017901696 not found</v>
      </c>
      <c r="AB30" t="str">
        <v>Local funcId 1690017899200 not found</v>
      </c>
      <c r="AC30" t="e">
        <f t="array" ref="AC30">(1-AA30/AB30)^2</f>
        <v>#VALUE!</v>
      </c>
      <c r="AE30" t="str">
        <f t="shared" si="9"/>
        <v>Local funcId 1690017901696 not found</v>
      </c>
      <c r="AK30">
        <v>1034.04</v>
      </c>
      <c r="AL30">
        <f t="shared" si="5"/>
        <v>26035.199999999997</v>
      </c>
      <c r="AM30">
        <v>0.19862350564068021</v>
      </c>
      <c r="AN30" t="str">
        <v>Local funcId 1690017899200 not found</v>
      </c>
      <c r="AO30" t="e">
        <f t="array" ref="AO30">(1-AM30/AN30)^2</f>
        <v>#VALUE!</v>
      </c>
      <c r="AQ30" t="str">
        <f t="array" ref="AQ30">ev_THFaktor($C$79,AM30)</f>
        <v>Local funcId 1690017901696 not found</v>
      </c>
      <c r="AW30">
        <v>1034.04</v>
      </c>
      <c r="AX30">
        <f t="shared" si="6"/>
        <v>26034.599999999991</v>
      </c>
      <c r="AY30">
        <v>7.391558407063957E-2</v>
      </c>
      <c r="AZ30" t="str">
        <v>Local funcId 1690017899200 not found</v>
      </c>
      <c r="BA30" t="e">
        <f t="array" ref="BA30">(1-AY30/AZ30)^2</f>
        <v>#VALUE!</v>
      </c>
      <c r="BC30" t="str">
        <f t="array" ref="BC30">ev_THFaktor($C$80,AY30)</f>
        <v>Local funcId 1690017901696 not found</v>
      </c>
    </row>
    <row r="31" spans="1:71" x14ac:dyDescent="0.25">
      <c r="A31">
        <v>1050.49</v>
      </c>
      <c r="B31">
        <f t="shared" si="0"/>
        <v>27024.6</v>
      </c>
      <c r="C31">
        <v>7.9957609706512153E-2</v>
      </c>
      <c r="D31" t="str">
        <v>Local funcId 1690017899200 not found</v>
      </c>
      <c r="E31" t="e">
        <f t="array" ref="E31">(1-C31/D31)^2</f>
        <v>#VALUE!</v>
      </c>
      <c r="G31" t="str">
        <f t="shared" si="1"/>
        <v>Local funcId 1690017901696 not found</v>
      </c>
      <c r="M31">
        <v>1050.74</v>
      </c>
      <c r="N31">
        <f t="shared" si="2"/>
        <v>27039.599999999999</v>
      </c>
      <c r="O31">
        <v>2.3740306384561739E-2</v>
      </c>
      <c r="P31" t="str">
        <v>Local funcId 1690017899200 not found</v>
      </c>
      <c r="Q31" t="e">
        <f t="array" ref="Q31">(1-O31/P31)^2</f>
        <v>#VALUE!</v>
      </c>
      <c r="S31" t="str">
        <f t="shared" si="3"/>
        <v>Local funcId 1690017901696 not found</v>
      </c>
      <c r="AB31" t="str">
        <v>Local funcId 1690017899200 not found</v>
      </c>
      <c r="AC31" t="e">
        <f t="array" ref="AC31">(1-AA31/AB31)^2</f>
        <v>#VALUE!</v>
      </c>
      <c r="AE31" t="str">
        <f t="shared" si="9"/>
        <v>Local funcId 1690017901696 not found</v>
      </c>
      <c r="AK31">
        <v>1050.73</v>
      </c>
      <c r="AL31">
        <f t="shared" si="5"/>
        <v>27036.600000000006</v>
      </c>
      <c r="AM31">
        <v>0.19957534923321119</v>
      </c>
      <c r="AN31" t="str">
        <v>Local funcId 1690017899200 not found</v>
      </c>
      <c r="AO31" t="e">
        <f t="array" ref="AO31">(1-AM31/AN31)^2</f>
        <v>#VALUE!</v>
      </c>
      <c r="AQ31" t="str">
        <f t="array" ref="AQ31">ev_THFaktor($C$79,AM31)</f>
        <v>Local funcId 1690017901696 not found</v>
      </c>
      <c r="AW31">
        <v>1050.73</v>
      </c>
      <c r="AX31">
        <f t="shared" si="6"/>
        <v>27036</v>
      </c>
      <c r="AY31">
        <v>7.4751144029815142E-2</v>
      </c>
      <c r="AZ31" t="str">
        <v>Local funcId 1690017899200 not found</v>
      </c>
      <c r="BA31" t="e">
        <f t="array" ref="BA31">(1-AY31/AZ31)^2</f>
        <v>#VALUE!</v>
      </c>
      <c r="BC31" t="str">
        <f t="array" ref="BC31">ev_THFaktor($C$80,AY31)</f>
        <v>Local funcId 1690017901696 not found</v>
      </c>
    </row>
    <row r="32" spans="1:71" x14ac:dyDescent="0.25">
      <c r="A32">
        <v>1067.17</v>
      </c>
      <c r="B32">
        <f t="shared" si="0"/>
        <v>28025.4</v>
      </c>
      <c r="C32">
        <v>8.1578458761706996E-2</v>
      </c>
      <c r="D32" t="str">
        <v>Local funcId 1690017899200 not found</v>
      </c>
      <c r="E32" t="e">
        <f t="array" ref="E32">(1-C32/D32)^2</f>
        <v>#VALUE!</v>
      </c>
      <c r="G32" t="str">
        <f t="shared" si="1"/>
        <v>Local funcId 1690017901696 not found</v>
      </c>
      <c r="M32">
        <v>1067.42</v>
      </c>
      <c r="N32">
        <f t="shared" si="2"/>
        <v>28040.400000000001</v>
      </c>
      <c r="O32">
        <v>2.410033297013944E-2</v>
      </c>
      <c r="P32" t="str">
        <v>Local funcId 1690017899200 not found</v>
      </c>
      <c r="Q32" t="e">
        <f t="array" ref="Q32">(1-O32/P32)^2</f>
        <v>#VALUE!</v>
      </c>
      <c r="S32" t="str">
        <f t="shared" si="3"/>
        <v>Local funcId 1690017901696 not found</v>
      </c>
      <c r="AB32" t="str">
        <v>Local funcId 1690017899200 not found</v>
      </c>
      <c r="AC32" t="e">
        <f t="array" ref="AC32">(1-AA32/AB32)^2</f>
        <v>#VALUE!</v>
      </c>
      <c r="AE32" t="str">
        <f t="shared" si="9"/>
        <v>Local funcId 1690017901696 not found</v>
      </c>
      <c r="AK32">
        <v>1067.42</v>
      </c>
      <c r="AL32">
        <f t="shared" si="5"/>
        <v>28038.000000000007</v>
      </c>
      <c r="AM32">
        <v>0.20043259589033927</v>
      </c>
      <c r="AN32" t="str">
        <v>Local funcId 1690017899200 not found</v>
      </c>
      <c r="AO32" t="e">
        <f t="array" ref="AO32">(1-AM32/AN32)^2</f>
        <v>#VALUE!</v>
      </c>
      <c r="AQ32" t="str">
        <f t="array" ref="AQ32">ev_THFaktor($C$79,AM32)</f>
        <v>Local funcId 1690017901696 not found</v>
      </c>
      <c r="AW32">
        <v>1067.42</v>
      </c>
      <c r="AX32">
        <f t="shared" si="6"/>
        <v>28037.4</v>
      </c>
      <c r="AY32">
        <v>7.5487151687279777E-2</v>
      </c>
      <c r="AZ32" t="str">
        <v>Local funcId 1690017899200 not found</v>
      </c>
      <c r="BA32" t="e">
        <f t="array" ref="BA32">(1-AY32/AZ32)^2</f>
        <v>#VALUE!</v>
      </c>
      <c r="BC32" t="str">
        <f t="array" ref="BC32">ev_THFaktor($C$80,AY32)</f>
        <v>Local funcId 1690017901696 not found</v>
      </c>
    </row>
    <row r="33" spans="1:55" x14ac:dyDescent="0.25">
      <c r="A33">
        <v>1083.8499999999999</v>
      </c>
      <c r="B33">
        <f t="shared" si="0"/>
        <v>29026.19999999999</v>
      </c>
      <c r="C33">
        <v>8.3165943946826248E-2</v>
      </c>
      <c r="D33" t="str">
        <v>Local funcId 1690017899200 not found</v>
      </c>
      <c r="E33" t="e">
        <f t="array" ref="E33">(1-C33/D33)^2</f>
        <v>#VALUE!</v>
      </c>
      <c r="G33" t="str">
        <f t="shared" si="1"/>
        <v>Local funcId 1690017901696 not found</v>
      </c>
      <c r="M33">
        <v>1084.1099999999999</v>
      </c>
      <c r="N33">
        <f t="shared" si="2"/>
        <v>29041.799999999988</v>
      </c>
      <c r="O33">
        <v>2.4446719313639634E-2</v>
      </c>
      <c r="P33" t="str">
        <v>Local funcId 1690017899200 not found</v>
      </c>
      <c r="Q33" t="e">
        <f t="array" ref="Q33">(1-O33/P33)^2</f>
        <v>#VALUE!</v>
      </c>
      <c r="S33" t="str">
        <f t="shared" si="3"/>
        <v>Local funcId 1690017901696 not found</v>
      </c>
      <c r="AB33" t="str">
        <v>Local funcId 1690017899200 not found</v>
      </c>
      <c r="AC33" t="e">
        <f t="array" ref="AC33">(1-AA33/AB33)^2</f>
        <v>#VALUE!</v>
      </c>
      <c r="AE33" t="str">
        <f t="shared" si="9"/>
        <v>Local funcId 1690017901696 not found</v>
      </c>
      <c r="AK33">
        <v>1084.1099999999999</v>
      </c>
      <c r="AL33">
        <f t="shared" si="5"/>
        <v>29039.399999999994</v>
      </c>
      <c r="AM33">
        <v>0.20122517268326456</v>
      </c>
      <c r="AN33" t="str">
        <v>Local funcId 1690017899200 not found</v>
      </c>
      <c r="AO33" t="e">
        <f t="array" ref="AO33">(1-AM33/AN33)^2</f>
        <v>#VALUE!</v>
      </c>
      <c r="AQ33" t="str">
        <f t="array" ref="AQ33">ev_THFaktor($C$79,AM33)</f>
        <v>Local funcId 1690017901696 not found</v>
      </c>
      <c r="AW33">
        <v>1084.1099999999999</v>
      </c>
      <c r="AX33">
        <f t="shared" si="6"/>
        <v>29038.799999999988</v>
      </c>
      <c r="AY33">
        <v>7.6309003779538531E-2</v>
      </c>
      <c r="AZ33" t="str">
        <v>Local funcId 1690017899200 not found</v>
      </c>
      <c r="BA33" t="e">
        <f t="array" ref="BA33">(1-AY33/AZ33)^2</f>
        <v>#VALUE!</v>
      </c>
      <c r="BC33" t="str">
        <f t="array" ref="BC33">ev_THFaktor($C$80,AY33)</f>
        <v>Local funcId 1690017901696 not found</v>
      </c>
    </row>
    <row r="34" spans="1:55" x14ac:dyDescent="0.25">
      <c r="A34">
        <v>1100.54</v>
      </c>
      <c r="B34">
        <f t="shared" si="0"/>
        <v>30027.599999999991</v>
      </c>
      <c r="C34">
        <v>8.4720381431055022E-2</v>
      </c>
      <c r="D34" t="str">
        <v>Local funcId 1690017899200 not found</v>
      </c>
      <c r="E34" t="e">
        <f t="array" ref="E34">(1-C34/D34)^2</f>
        <v>#VALUE!</v>
      </c>
      <c r="G34" t="str">
        <f t="shared" si="1"/>
        <v>Local funcId 1690017901696 not found</v>
      </c>
      <c r="M34">
        <v>1100.8</v>
      </c>
      <c r="N34">
        <f t="shared" si="2"/>
        <v>30043.199999999997</v>
      </c>
      <c r="O34">
        <v>2.4792859851282482E-2</v>
      </c>
      <c r="P34" t="str">
        <v>Local funcId 1690017899200 not found</v>
      </c>
      <c r="Q34" t="e">
        <f t="array" ref="Q34">(1-O34/P34)^2</f>
        <v>#VALUE!</v>
      </c>
      <c r="S34" t="str">
        <f t="shared" si="3"/>
        <v>Local funcId 1690017901696 not found</v>
      </c>
      <c r="AB34" t="str">
        <v>Local funcId 1690017899200 not found</v>
      </c>
      <c r="AC34" t="e">
        <f t="array" ref="AC34">(1-AA34/AB34)^2</f>
        <v>#VALUE!</v>
      </c>
      <c r="AE34" t="str">
        <f t="shared" si="9"/>
        <v>Local funcId 1690017901696 not found</v>
      </c>
      <c r="AK34">
        <v>1100.8</v>
      </c>
      <c r="AL34">
        <f t="shared" si="5"/>
        <v>30040.800000000003</v>
      </c>
      <c r="AM34">
        <v>0.20189072767861832</v>
      </c>
      <c r="AN34" t="str">
        <v>Local funcId 1690017899200 not found</v>
      </c>
      <c r="AO34" t="e">
        <f t="array" ref="AO34">(1-AM34/AN34)^2</f>
        <v>#VALUE!</v>
      </c>
      <c r="AQ34" t="str">
        <f t="array" ref="AQ34">ev_THFaktor($C$79,AM34)</f>
        <v>Local funcId 1690017901696 not found</v>
      </c>
      <c r="AW34">
        <v>1100.8</v>
      </c>
      <c r="AX34">
        <f t="shared" si="6"/>
        <v>30040.199999999997</v>
      </c>
      <c r="AY34">
        <v>7.6988240277197278E-2</v>
      </c>
      <c r="AZ34" t="str">
        <v>Local funcId 1690017899200 not found</v>
      </c>
      <c r="BA34" t="e">
        <f t="array" ref="BA34">(1-AY34/AZ34)^2</f>
        <v>#VALUE!</v>
      </c>
      <c r="BC34" t="str">
        <f t="array" ref="BC34">ev_THFaktor($C$80,AY34)</f>
        <v>Local funcId 1690017901696 not found</v>
      </c>
    </row>
    <row r="35" spans="1:55" x14ac:dyDescent="0.25">
      <c r="A35">
        <v>1117.22</v>
      </c>
      <c r="B35">
        <f t="shared" si="0"/>
        <v>31028.399999999994</v>
      </c>
      <c r="C35">
        <v>8.6242079261089136E-2</v>
      </c>
      <c r="D35" t="str">
        <v>Local funcId 1690017899200 not found</v>
      </c>
      <c r="E35" t="e">
        <f t="array" ref="E35">(1-C35/D35)^2</f>
        <v>#VALUE!</v>
      </c>
      <c r="G35" t="str">
        <f t="shared" si="1"/>
        <v>Local funcId 1690017901696 not found</v>
      </c>
      <c r="M35">
        <v>1117.49</v>
      </c>
      <c r="N35">
        <f t="shared" si="2"/>
        <v>31044.599999999991</v>
      </c>
      <c r="O35">
        <v>2.5132818803184759E-2</v>
      </c>
      <c r="P35" t="str">
        <v>Local funcId 1690017899200 not found</v>
      </c>
      <c r="Q35" t="e">
        <f t="array" ref="Q35">(1-O35/P35)^2</f>
        <v>#VALUE!</v>
      </c>
      <c r="S35" t="str">
        <f t="shared" si="3"/>
        <v>Local funcId 1690017901696 not found</v>
      </c>
      <c r="AB35" t="str">
        <v>Local funcId 1690017899200 not found</v>
      </c>
      <c r="AC35" t="e">
        <f t="array" ref="AC35">(1-AA35/AB35)^2</f>
        <v>#VALUE!</v>
      </c>
      <c r="AE35" t="str">
        <f t="shared" si="9"/>
        <v>Local funcId 1690017901696 not found</v>
      </c>
      <c r="AK35">
        <v>1117.49</v>
      </c>
      <c r="AL35">
        <f t="shared" si="5"/>
        <v>31042.199999999997</v>
      </c>
      <c r="AM35">
        <v>0.20245495153460666</v>
      </c>
      <c r="AN35" t="str">
        <v>Local funcId 1690017899200 not found</v>
      </c>
      <c r="AO35" t="e">
        <f t="array" ref="AO35">(1-AM35/AN35)^2</f>
        <v>#VALUE!</v>
      </c>
      <c r="AQ35" t="str">
        <f t="array" ref="AQ35">ev_THFaktor($C$79,AM35)</f>
        <v>Local funcId 1690017901696 not found</v>
      </c>
      <c r="AW35">
        <v>1117.48</v>
      </c>
      <c r="AX35">
        <f t="shared" si="6"/>
        <v>31041</v>
      </c>
      <c r="AY35">
        <v>7.7650212510801508E-2</v>
      </c>
      <c r="AZ35" t="str">
        <v>Local funcId 1690017899200 not found</v>
      </c>
      <c r="BA35" t="e">
        <f t="array" ref="BA35">(1-AY35/AZ35)^2</f>
        <v>#VALUE!</v>
      </c>
      <c r="BC35" t="str">
        <f t="array" ref="BC35">ev_THFaktor($C$80,AY35)</f>
        <v>Local funcId 1690017901696 not found</v>
      </c>
    </row>
    <row r="36" spans="1:55" x14ac:dyDescent="0.25">
      <c r="A36">
        <v>1133.9000000000001</v>
      </c>
      <c r="B36">
        <f t="shared" si="0"/>
        <v>32029.199999999997</v>
      </c>
      <c r="C36">
        <v>8.7739162881663474E-2</v>
      </c>
      <c r="D36" t="str">
        <v>Local funcId 1690017899200 not found</v>
      </c>
      <c r="E36" t="e">
        <f t="array" ref="E36">(1-C36/D36)^2</f>
        <v>#VALUE!</v>
      </c>
      <c r="G36" t="str">
        <f t="shared" si="1"/>
        <v>Local funcId 1690017901696 not found</v>
      </c>
      <c r="M36">
        <v>1134.18</v>
      </c>
      <c r="N36">
        <f t="shared" si="2"/>
        <v>32046</v>
      </c>
      <c r="O36">
        <v>2.5462159809596978E-2</v>
      </c>
      <c r="P36" t="str">
        <v>Local funcId 1690017899200 not found</v>
      </c>
      <c r="Q36" t="e">
        <f t="array" ref="Q36">(1-O36/P36)^2</f>
        <v>#VALUE!</v>
      </c>
      <c r="S36" t="str">
        <f t="shared" si="3"/>
        <v>Local funcId 1690017901696 not found</v>
      </c>
      <c r="AB36" t="str">
        <v>Local funcId 1690017899200 not found</v>
      </c>
      <c r="AC36" t="e">
        <f t="array" ref="AC36">(1-AA36/AB36)^2</f>
        <v>#VALUE!</v>
      </c>
      <c r="AE36" t="str">
        <f t="shared" si="9"/>
        <v>Local funcId 1690017901696 not found</v>
      </c>
      <c r="AK36">
        <v>1134.17</v>
      </c>
      <c r="AL36">
        <f t="shared" si="5"/>
        <v>32043.000000000015</v>
      </c>
      <c r="AM36">
        <v>0.20298918305082977</v>
      </c>
      <c r="AN36" t="str">
        <v>Local funcId 1690017899200 not found</v>
      </c>
      <c r="AO36" t="e">
        <f t="array" ref="AO36">(1-AM36/AN36)^2</f>
        <v>#VALUE!</v>
      </c>
      <c r="AQ36" t="str">
        <f t="array" ref="AQ36">ev_THFaktor($C$79,AM36)</f>
        <v>Local funcId 1690017901696 not found</v>
      </c>
      <c r="AW36">
        <v>1134.17</v>
      </c>
      <c r="AX36">
        <f t="shared" si="6"/>
        <v>32042.400000000009</v>
      </c>
      <c r="AY36">
        <v>7.8349134740774401E-2</v>
      </c>
      <c r="AZ36" t="str">
        <v>Local funcId 1690017899200 not found</v>
      </c>
      <c r="BA36" t="e">
        <f t="array" ref="BA36">(1-AY36/AZ36)^2</f>
        <v>#VALUE!</v>
      </c>
      <c r="BC36" t="str">
        <f t="array" ref="BC36">ev_THFaktor($C$80,AY36)</f>
        <v>Local funcId 1690017901696 not found</v>
      </c>
    </row>
    <row r="37" spans="1:55" x14ac:dyDescent="0.25">
      <c r="A37">
        <v>1150.58</v>
      </c>
      <c r="B37">
        <f t="shared" si="0"/>
        <v>33029.999999999985</v>
      </c>
      <c r="C37">
        <v>8.9210549228448191E-2</v>
      </c>
      <c r="D37" t="str">
        <v>Local funcId 1690017899200 not found</v>
      </c>
      <c r="E37" t="e">
        <f t="array" ref="E37">(1-C37/D37)^2</f>
        <v>#VALUE!</v>
      </c>
      <c r="G37" t="str">
        <f t="shared" si="1"/>
        <v>Local funcId 1690017901696 not found</v>
      </c>
      <c r="M37">
        <v>1150.8699999999999</v>
      </c>
      <c r="N37">
        <f t="shared" si="2"/>
        <v>33047.399999999994</v>
      </c>
      <c r="O37">
        <v>2.5782386194222854E-2</v>
      </c>
      <c r="P37" t="str">
        <v>Local funcId 1690017899200 not found</v>
      </c>
      <c r="Q37" t="e">
        <f t="array" ref="Q37">(1-O37/P37)^2</f>
        <v>#VALUE!</v>
      </c>
      <c r="S37" t="str">
        <f t="shared" si="3"/>
        <v>Local funcId 1690017901696 not found</v>
      </c>
      <c r="AB37" t="str">
        <v>Local funcId 1690017899200 not found</v>
      </c>
      <c r="AC37" t="e">
        <f t="array" ref="AC37">(1-AA37/AB37)^2</f>
        <v>#VALUE!</v>
      </c>
      <c r="AE37" t="str">
        <f t="shared" si="9"/>
        <v>Local funcId 1690017901696 not found</v>
      </c>
      <c r="AK37">
        <v>1150.8599999999999</v>
      </c>
      <c r="AL37">
        <f t="shared" si="5"/>
        <v>33044.399999999994</v>
      </c>
      <c r="AM37">
        <v>0.20346021485130908</v>
      </c>
      <c r="AN37" t="str">
        <v>Local funcId 1690017899200 not found</v>
      </c>
      <c r="AO37" t="e">
        <f t="array" ref="AO37">(1-AM37/AN37)^2</f>
        <v>#VALUE!</v>
      </c>
      <c r="AQ37" t="str">
        <f t="array" ref="AQ37">ev_THFaktor($C$79,AM37)</f>
        <v>Local funcId 1690017901696 not found</v>
      </c>
      <c r="AW37">
        <v>1150.8599999999999</v>
      </c>
      <c r="AX37">
        <f t="shared" si="6"/>
        <v>33043.799999999988</v>
      </c>
      <c r="AY37">
        <v>7.9063215354815586E-2</v>
      </c>
      <c r="AZ37" t="str">
        <v>Local funcId 1690017899200 not found</v>
      </c>
      <c r="BA37" t="e">
        <f t="array" ref="BA37">(1-AY37/AZ37)^2</f>
        <v>#VALUE!</v>
      </c>
      <c r="BC37" t="str">
        <f t="array" ref="BC37">ev_THFaktor($C$80,AY37)</f>
        <v>Local funcId 1690017901696 not found</v>
      </c>
    </row>
    <row r="38" spans="1:55" x14ac:dyDescent="0.25">
      <c r="A38">
        <v>1167.26</v>
      </c>
      <c r="B38">
        <f t="shared" si="0"/>
        <v>34030.800000000003</v>
      </c>
      <c r="C38">
        <v>9.0644799958957231E-2</v>
      </c>
      <c r="D38" t="str">
        <v>Local funcId 1690017899200 not found</v>
      </c>
      <c r="E38" t="e">
        <f t="array" ref="E38">(1-C38/D38)^2</f>
        <v>#VALUE!</v>
      </c>
      <c r="G38" t="str">
        <f t="shared" si="1"/>
        <v>Local funcId 1690017901696 not found</v>
      </c>
      <c r="M38">
        <v>1167.56</v>
      </c>
      <c r="N38">
        <f t="shared" si="2"/>
        <v>34048.799999999988</v>
      </c>
      <c r="O38">
        <v>2.6099440052801112E-2</v>
      </c>
      <c r="P38" t="str">
        <v>Local funcId 1690017899200 not found</v>
      </c>
      <c r="Q38" t="e">
        <f t="array" ref="Q38">(1-O38/P38)^2</f>
        <v>#VALUE!</v>
      </c>
      <c r="S38" t="str">
        <f t="shared" si="3"/>
        <v>Local funcId 1690017901696 not found</v>
      </c>
      <c r="AB38" t="str">
        <v>Local funcId 1690017899200 not found</v>
      </c>
      <c r="AC38" t="e">
        <f t="array" ref="AC38">(1-AA38/AB38)^2</f>
        <v>#VALUE!</v>
      </c>
      <c r="AE38" t="str">
        <f t="shared" si="9"/>
        <v>Local funcId 1690017901696 not found</v>
      </c>
      <c r="AK38">
        <v>1167.55</v>
      </c>
      <c r="AL38">
        <f t="shared" si="5"/>
        <v>34045.800000000003</v>
      </c>
      <c r="AM38">
        <v>0.20388491615439319</v>
      </c>
      <c r="AN38" t="str">
        <v>Local funcId 1690017899200 not found</v>
      </c>
      <c r="AO38" t="e">
        <f t="array" ref="AO38">(1-AM38/AN38)^2</f>
        <v>#VALUE!</v>
      </c>
      <c r="AQ38" t="str">
        <f t="array" ref="AQ38">ev_THFaktor($C$79,AM38)</f>
        <v>Local funcId 1690017901696 not found</v>
      </c>
      <c r="AW38">
        <v>1167.55</v>
      </c>
      <c r="AX38">
        <f t="shared" si="6"/>
        <v>34045.199999999997</v>
      </c>
      <c r="AY38">
        <v>7.9662836327801467E-2</v>
      </c>
      <c r="AZ38" t="str">
        <v>Local funcId 1690017899200 not found</v>
      </c>
      <c r="BA38" t="e">
        <f t="array" ref="BA38">(1-AY38/AZ38)^2</f>
        <v>#VALUE!</v>
      </c>
      <c r="BC38" t="str">
        <f t="array" ref="BC38">ev_THFaktor($C$80,AY38)</f>
        <v>Local funcId 1690017901696 not found</v>
      </c>
    </row>
    <row r="39" spans="1:55" x14ac:dyDescent="0.25">
      <c r="A39">
        <v>1183.94</v>
      </c>
      <c r="B39">
        <f t="shared" si="0"/>
        <v>35031.600000000006</v>
      </c>
      <c r="C39">
        <v>9.2053870616609343E-2</v>
      </c>
      <c r="D39" t="str">
        <v>Local funcId 1690017899200 not found</v>
      </c>
      <c r="E39" t="e">
        <f t="array" ref="E39">(1-C39/D39)^2</f>
        <v>#VALUE!</v>
      </c>
      <c r="G39" t="str">
        <f t="shared" si="1"/>
        <v>Local funcId 1690017901696 not found</v>
      </c>
      <c r="M39">
        <v>1184.25</v>
      </c>
      <c r="N39">
        <f t="shared" si="2"/>
        <v>35050.199999999997</v>
      </c>
      <c r="O39">
        <v>2.6407406844337816E-2</v>
      </c>
      <c r="P39" t="str">
        <v>Local funcId 1690017899200 not found</v>
      </c>
      <c r="Q39" t="e">
        <f t="array" ref="Q39">(1-O39/P39)^2</f>
        <v>#VALUE!</v>
      </c>
      <c r="S39" t="str">
        <f t="shared" si="3"/>
        <v>Local funcId 1690017901696 not found</v>
      </c>
      <c r="AB39" t="str">
        <v>Local funcId 1690017899200 not found</v>
      </c>
      <c r="AC39" t="e">
        <f t="array" ref="AC39">(1-AA39/AB39)^2</f>
        <v>#VALUE!</v>
      </c>
      <c r="AE39" t="str">
        <f t="shared" si="9"/>
        <v>Local funcId 1690017901696 not found</v>
      </c>
      <c r="AK39">
        <v>1184.24</v>
      </c>
      <c r="AL39">
        <f t="shared" si="5"/>
        <v>35047.199999999997</v>
      </c>
      <c r="AM39">
        <v>0.20425096137769627</v>
      </c>
      <c r="AN39" t="str">
        <v>Local funcId 1690017899200 not found</v>
      </c>
      <c r="AO39" t="e">
        <f t="array" ref="AO39">(1-AM39/AN39)^2</f>
        <v>#VALUE!</v>
      </c>
      <c r="AQ39" t="str">
        <f t="array" ref="AQ39">ev_THFaktor($C$79,AM39)</f>
        <v>Local funcId 1690017901696 not found</v>
      </c>
      <c r="AW39">
        <v>1184.24</v>
      </c>
      <c r="AX39">
        <f t="shared" si="6"/>
        <v>35046.599999999991</v>
      </c>
      <c r="AY39">
        <v>8.0288633446074287E-2</v>
      </c>
      <c r="AZ39" t="str">
        <v>Local funcId 1690017899200 not found</v>
      </c>
      <c r="BA39" t="e">
        <f t="array" ref="BA39">(1-AY39/AZ39)^2</f>
        <v>#VALUE!</v>
      </c>
      <c r="BC39" t="str">
        <f t="array" ref="BC39">ev_THFaktor($C$80,AY39)</f>
        <v>Local funcId 1690017901696 not found</v>
      </c>
    </row>
    <row r="40" spans="1:55" x14ac:dyDescent="0.25">
      <c r="A40">
        <v>1200.6300000000001</v>
      </c>
      <c r="B40">
        <f t="shared" si="0"/>
        <v>36033</v>
      </c>
      <c r="C40">
        <v>9.3436686192135757E-2</v>
      </c>
      <c r="D40" t="str">
        <v>Local funcId 1690017899200 not found</v>
      </c>
      <c r="E40" t="e">
        <f t="array" ref="E40">(1-C40/D40)^2</f>
        <v>#VALUE!</v>
      </c>
      <c r="G40" t="str">
        <f t="shared" si="1"/>
        <v>Local funcId 1690017901696 not found</v>
      </c>
      <c r="M40">
        <v>1200.94</v>
      </c>
      <c r="N40">
        <f t="shared" si="2"/>
        <v>36051.600000000006</v>
      </c>
      <c r="O40">
        <v>2.6706303611704011E-2</v>
      </c>
      <c r="P40" t="str">
        <v>Local funcId 1690017899200 not found</v>
      </c>
      <c r="Q40" t="e">
        <f t="array" ref="Q40">(1-O40/P40)^2</f>
        <v>#VALUE!</v>
      </c>
      <c r="S40" t="str">
        <f t="shared" si="3"/>
        <v>Local funcId 1690017901696 not found</v>
      </c>
      <c r="AB40" t="str">
        <v>Local funcId 1690017899200 not found</v>
      </c>
      <c r="AC40" t="e">
        <f t="array" ref="AC40">(1-AA40/AB40)^2</f>
        <v>#VALUE!</v>
      </c>
      <c r="AE40" t="str">
        <f t="shared" si="9"/>
        <v>Local funcId 1690017901696 not found</v>
      </c>
      <c r="AK40">
        <v>1200.93</v>
      </c>
      <c r="AL40">
        <f t="shared" si="5"/>
        <v>36048.600000000006</v>
      </c>
      <c r="AM40">
        <v>0.20456682056531647</v>
      </c>
      <c r="AN40" t="str">
        <v>Local funcId 1690017899200 not found</v>
      </c>
      <c r="AO40" t="e">
        <f t="array" ref="AO40">(1-AM40/AN40)^2</f>
        <v>#VALUE!</v>
      </c>
      <c r="AQ40" t="str">
        <f t="array" ref="AQ40">ev_THFaktor($C$79,AM40)</f>
        <v>Local funcId 1690017901696 not found</v>
      </c>
      <c r="AW40">
        <v>1200.93</v>
      </c>
      <c r="AX40">
        <f t="shared" si="6"/>
        <v>36048</v>
      </c>
      <c r="AY40">
        <v>8.0940498365725755E-2</v>
      </c>
      <c r="AZ40" t="str">
        <v>Local funcId 1690017899200 not found</v>
      </c>
      <c r="BA40" t="e">
        <f t="array" ref="BA40">(1-AY40/AZ40)^2</f>
        <v>#VALUE!</v>
      </c>
      <c r="BC40" t="str">
        <f t="array" ref="BC40">ev_THFaktor($C$80,AY40)</f>
        <v>Local funcId 1690017901696 not found</v>
      </c>
    </row>
    <row r="41" spans="1:55" x14ac:dyDescent="0.25">
      <c r="A41">
        <v>1217.31</v>
      </c>
      <c r="B41">
        <f t="shared" si="0"/>
        <v>37033.799999999988</v>
      </c>
      <c r="C41">
        <v>9.4792182386395141E-2</v>
      </c>
      <c r="D41" t="str">
        <v>Local funcId 1690017899200 not found</v>
      </c>
      <c r="E41" t="e">
        <f t="array" ref="E41">(1-C41/D41)^2</f>
        <v>#VALUE!</v>
      </c>
      <c r="G41" t="str">
        <f t="shared" si="1"/>
        <v>Local funcId 1690017901696 not found</v>
      </c>
      <c r="M41">
        <v>1217.6300000000001</v>
      </c>
      <c r="N41">
        <f t="shared" si="2"/>
        <v>37053</v>
      </c>
      <c r="O41">
        <v>2.7005016910421863E-2</v>
      </c>
      <c r="P41" t="str">
        <v>Local funcId 1690017899200 not found</v>
      </c>
      <c r="Q41" t="e">
        <f t="array" ref="Q41">(1-O41/P41)^2</f>
        <v>#VALUE!</v>
      </c>
      <c r="S41" t="str">
        <f t="shared" si="3"/>
        <v>Local funcId 1690017901696 not found</v>
      </c>
      <c r="AB41" t="str">
        <v>Local funcId 1690017899200 not found</v>
      </c>
      <c r="AC41" t="e">
        <f t="array" ref="AC41">(1-AA41/AB41)^2</f>
        <v>#VALUE!</v>
      </c>
      <c r="AE41" t="str">
        <f t="shared" si="9"/>
        <v>Local funcId 1690017901696 not found</v>
      </c>
      <c r="AK41">
        <v>1217.6199999999999</v>
      </c>
      <c r="AL41">
        <f t="shared" si="5"/>
        <v>37050</v>
      </c>
      <c r="AM41">
        <v>0.20482430950764902</v>
      </c>
      <c r="AN41" t="str">
        <v>Local funcId 1690017899200 not found</v>
      </c>
      <c r="AO41" t="e">
        <f t="array" ref="AO41">(1-AM41/AN41)^2</f>
        <v>#VALUE!</v>
      </c>
      <c r="AQ41" t="str">
        <f t="array" ref="AQ41">ev_THFaktor($C$79,AM41)</f>
        <v>Local funcId 1690017901696 not found</v>
      </c>
      <c r="AW41">
        <v>1217.6199999999999</v>
      </c>
      <c r="AX41">
        <f t="shared" si="6"/>
        <v>37049.399999999994</v>
      </c>
      <c r="AY41">
        <v>8.142475762259363E-2</v>
      </c>
      <c r="AZ41" t="str">
        <v>Local funcId 1690017899200 not found</v>
      </c>
      <c r="BA41" t="e">
        <f t="array" ref="BA41">(1-AY41/AZ41)^2</f>
        <v>#VALUE!</v>
      </c>
      <c r="BC41" t="str">
        <f t="array" ref="BC41">ev_THFaktor($C$80,AY41)</f>
        <v>Local funcId 1690017901696 not found</v>
      </c>
    </row>
    <row r="42" spans="1:55" x14ac:dyDescent="0.25">
      <c r="A42">
        <v>1233.99</v>
      </c>
      <c r="B42">
        <f t="shared" si="0"/>
        <v>38034.599999999991</v>
      </c>
      <c r="C42">
        <v>9.6123145961734296E-2</v>
      </c>
      <c r="D42" t="str">
        <v>Local funcId 1690017899200 not found</v>
      </c>
      <c r="E42" t="e">
        <f t="array" ref="E42">(1-C42/D42)^2</f>
        <v>#VALUE!</v>
      </c>
      <c r="G42" t="str">
        <f t="shared" si="1"/>
        <v>Local funcId 1690017901696 not found</v>
      </c>
      <c r="M42">
        <v>1234.31</v>
      </c>
      <c r="N42">
        <f t="shared" si="2"/>
        <v>38053.799999999988</v>
      </c>
      <c r="O42">
        <v>2.7300592064692864E-2</v>
      </c>
      <c r="P42" t="str">
        <v>Local funcId 1690017899200 not found</v>
      </c>
      <c r="Q42" t="e">
        <f t="array" ref="Q42">(1-O42/P42)^2</f>
        <v>#VALUE!</v>
      </c>
      <c r="S42" t="str">
        <f t="shared" si="3"/>
        <v>Local funcId 1690017901696 not found</v>
      </c>
      <c r="AB42" t="str">
        <v>Local funcId 1690017899200 not found</v>
      </c>
      <c r="AC42" t="e">
        <f t="array" ref="AC42">(1-AA42/AB42)^2</f>
        <v>#VALUE!</v>
      </c>
      <c r="AE42" t="str">
        <f t="shared" si="9"/>
        <v>Local funcId 1690017901696 not found</v>
      </c>
      <c r="AK42">
        <v>1234.31</v>
      </c>
      <c r="AL42">
        <f t="shared" si="5"/>
        <v>38051.399999999994</v>
      </c>
      <c r="AM42">
        <v>0.20503598999900827</v>
      </c>
      <c r="AN42" t="str">
        <v>Local funcId 1690017899200 not found</v>
      </c>
      <c r="AO42" t="e">
        <f t="array" ref="AO42">(1-AM42/AN42)^2</f>
        <v>#VALUE!</v>
      </c>
      <c r="AQ42" t="str">
        <f t="array" ref="AQ42">ev_THFaktor($C$79,AM42)</f>
        <v>Local funcId 1690017901696 not found</v>
      </c>
      <c r="AW42">
        <v>1234.31</v>
      </c>
      <c r="AX42">
        <f t="shared" si="6"/>
        <v>38050.799999999988</v>
      </c>
      <c r="AY42">
        <v>8.199982447415366E-2</v>
      </c>
      <c r="AZ42" t="str">
        <v>Local funcId 1690017899200 not found</v>
      </c>
      <c r="BA42" t="e">
        <f t="array" ref="BA42">(1-AY42/AZ42)^2</f>
        <v>#VALUE!</v>
      </c>
      <c r="BC42" t="str">
        <f t="array" ref="BC42">ev_THFaktor($C$80,AY42)</f>
        <v>Local funcId 1690017901696 not found</v>
      </c>
    </row>
    <row r="43" spans="1:55" x14ac:dyDescent="0.25">
      <c r="A43">
        <v>1250.67</v>
      </c>
      <c r="B43">
        <f t="shared" si="0"/>
        <v>39035.400000000009</v>
      </c>
      <c r="C43">
        <v>9.7429775340497238E-2</v>
      </c>
      <c r="D43" t="str">
        <v>Local funcId 1690017899200 not found</v>
      </c>
      <c r="E43" t="e">
        <f t="array" ref="E43">(1-C43/D43)^2</f>
        <v>#VALUE!</v>
      </c>
      <c r="G43" t="str">
        <f t="shared" si="1"/>
        <v>Local funcId 1690017901696 not found</v>
      </c>
      <c r="M43">
        <v>1251</v>
      </c>
      <c r="N43">
        <f t="shared" si="2"/>
        <v>39055.199999999997</v>
      </c>
      <c r="O43">
        <v>2.7585651877485677E-2</v>
      </c>
      <c r="P43" t="str">
        <v>Local funcId 1690017899200 not found</v>
      </c>
      <c r="Q43" t="e">
        <f t="array" ref="Q43">(1-O43/P43)^2</f>
        <v>#VALUE!</v>
      </c>
      <c r="S43" t="str">
        <f t="shared" si="3"/>
        <v>Local funcId 1690017901696 not found</v>
      </c>
      <c r="AB43" t="str">
        <v>Local funcId 1690017899200 not found</v>
      </c>
      <c r="AC43" t="e">
        <f t="array" ref="AC43">(1-AA43/AB43)^2</f>
        <v>#VALUE!</v>
      </c>
      <c r="AE43" t="str">
        <f t="shared" si="9"/>
        <v>Local funcId 1690017901696 not found</v>
      </c>
      <c r="AK43">
        <v>1250.99</v>
      </c>
      <c r="AL43">
        <f t="shared" si="5"/>
        <v>39052.199999999997</v>
      </c>
      <c r="AM43">
        <v>0.20521023050468909</v>
      </c>
      <c r="AN43" t="str">
        <v>Local funcId 1690017899200 not found</v>
      </c>
      <c r="AO43" t="e">
        <f t="array" ref="AO43">(1-AM43/AN43)^2</f>
        <v>#VALUE!</v>
      </c>
      <c r="AQ43" t="str">
        <f t="array" ref="AQ43">ev_THFaktor($C$79,AM43)</f>
        <v>Local funcId 1690017901696 not found</v>
      </c>
      <c r="AW43">
        <v>1250.99</v>
      </c>
      <c r="AX43">
        <f t="shared" si="6"/>
        <v>39051.599999999991</v>
      </c>
      <c r="AY43">
        <v>8.2525889844631453E-2</v>
      </c>
      <c r="AZ43" t="str">
        <v>Local funcId 1690017899200 not found</v>
      </c>
      <c r="BA43" t="e">
        <f t="array" ref="BA43">(1-AY43/AZ43)^2</f>
        <v>#VALUE!</v>
      </c>
      <c r="BC43" t="str">
        <f t="array" ref="BC43">ev_THFaktor($C$80,AY43)</f>
        <v>Local funcId 1690017901696 not found</v>
      </c>
    </row>
    <row r="44" spans="1:55" x14ac:dyDescent="0.25">
      <c r="A44">
        <v>1267.3499999999999</v>
      </c>
      <c r="B44">
        <f t="shared" si="0"/>
        <v>40036.199999999997</v>
      </c>
      <c r="C44">
        <v>9.8712264490732282E-2</v>
      </c>
      <c r="D44" t="str">
        <v>Local funcId 1690017899200 not found</v>
      </c>
      <c r="E44" t="e">
        <f t="array" ref="E44">(1-C44/D44)^2</f>
        <v>#VALUE!</v>
      </c>
      <c r="G44" t="str">
        <f t="shared" si="1"/>
        <v>Local funcId 1690017901696 not found</v>
      </c>
      <c r="M44">
        <v>1267.69</v>
      </c>
      <c r="N44">
        <f t="shared" si="2"/>
        <v>40056.600000000006</v>
      </c>
      <c r="O44">
        <v>2.7867593258829582E-2</v>
      </c>
      <c r="P44" t="str">
        <v>Local funcId 1690017899200 not found</v>
      </c>
      <c r="Q44" t="e">
        <f t="array" ref="Q44">(1-O44/P44)^2</f>
        <v>#VALUE!</v>
      </c>
      <c r="S44" t="str">
        <f t="shared" si="3"/>
        <v>Local funcId 1690017901696 not found</v>
      </c>
      <c r="AB44" t="str">
        <v>Local funcId 1690017899200 not found</v>
      </c>
      <c r="AC44" t="e">
        <f t="array" ref="AC44">(1-AA44/AB44)^2</f>
        <v>#VALUE!</v>
      </c>
      <c r="AE44" t="str">
        <f t="shared" si="9"/>
        <v>Local funcId 1690017901696 not found</v>
      </c>
      <c r="AK44">
        <v>1267.68</v>
      </c>
      <c r="AL44">
        <f t="shared" si="5"/>
        <v>40053.600000000006</v>
      </c>
      <c r="AM44">
        <v>0.20535122640967995</v>
      </c>
      <c r="AN44" t="str">
        <v>Local funcId 1690017899200 not found</v>
      </c>
      <c r="AO44" t="e">
        <f t="array" ref="AO44">(1-AM44/AN44)^2</f>
        <v>#VALUE!</v>
      </c>
      <c r="AQ44" t="str">
        <f t="array" ref="AQ44">ev_THFaktor($C$79,AM44)</f>
        <v>Local funcId 1690017901696 not found</v>
      </c>
      <c r="AW44">
        <v>1267.68</v>
      </c>
      <c r="AX44">
        <f t="shared" si="6"/>
        <v>40053</v>
      </c>
      <c r="AY44">
        <v>8.3003120945400577E-2</v>
      </c>
      <c r="AZ44" t="str">
        <v>Local funcId 1690017899200 not found</v>
      </c>
      <c r="BA44" t="e">
        <f t="array" ref="BA44">(1-AY44/AZ44)^2</f>
        <v>#VALUE!</v>
      </c>
      <c r="BC44" t="str">
        <f t="array" ref="BC44">ev_THFaktor($C$80,AY44)</f>
        <v>Local funcId 1690017901696 not found</v>
      </c>
    </row>
    <row r="45" spans="1:55" x14ac:dyDescent="0.25">
      <c r="A45">
        <v>1284.03</v>
      </c>
      <c r="B45">
        <f t="shared" si="0"/>
        <v>41037</v>
      </c>
      <c r="C45">
        <v>9.9973341946658564E-2</v>
      </c>
      <c r="D45" t="str">
        <v>Local funcId 1690017899200 not found</v>
      </c>
      <c r="E45" t="e">
        <f t="array" ref="E45">(1-C45/D45)^2</f>
        <v>#VALUE!</v>
      </c>
      <c r="G45" t="str">
        <f t="shared" si="1"/>
        <v>Local funcId 1690017901696 not found</v>
      </c>
      <c r="M45">
        <v>1284.3800000000001</v>
      </c>
      <c r="N45">
        <f t="shared" si="2"/>
        <v>41058</v>
      </c>
      <c r="O45">
        <v>2.8143471761679674E-2</v>
      </c>
      <c r="P45" t="str">
        <v>Local funcId 1690017899200 not found</v>
      </c>
      <c r="Q45" t="e">
        <f t="array" ref="Q45">(1-O45/P45)^2</f>
        <v>#VALUE!</v>
      </c>
      <c r="S45" t="str">
        <f t="shared" si="3"/>
        <v>Local funcId 1690017901696 not found</v>
      </c>
      <c r="AB45" t="str">
        <v>Local funcId 1690017899200 not found</v>
      </c>
      <c r="AC45" t="e">
        <f t="array" ref="AC45">(1-AA45/AB45)^2</f>
        <v>#VALUE!</v>
      </c>
      <c r="AE45" t="str">
        <f t="shared" si="9"/>
        <v>Local funcId 1690017901696 not found</v>
      </c>
      <c r="AK45">
        <v>1284.3699999999999</v>
      </c>
      <c r="AL45">
        <f t="shared" si="5"/>
        <v>41055</v>
      </c>
      <c r="AM45">
        <v>0.20546315811439667</v>
      </c>
      <c r="AN45" t="str">
        <v>Local funcId 1690017899200 not found</v>
      </c>
      <c r="AO45" t="e">
        <f t="array" ref="AO45">(1-AM45/AN45)^2</f>
        <v>#VALUE!</v>
      </c>
      <c r="AQ45" t="str">
        <f t="array" ref="AQ45">ev_THFaktor($C$79,AM45)</f>
        <v>Local funcId 1690017901696 not found</v>
      </c>
      <c r="AW45">
        <v>1284.3699999999999</v>
      </c>
      <c r="AX45">
        <f t="shared" si="6"/>
        <v>41054.399999999994</v>
      </c>
      <c r="AY45">
        <v>8.3463794191181287E-2</v>
      </c>
      <c r="AZ45" t="str">
        <v>Local funcId 1690017899200 not found</v>
      </c>
      <c r="BA45" t="e">
        <f t="array" ref="BA45">(1-AY45/AZ45)^2</f>
        <v>#VALUE!</v>
      </c>
      <c r="BC45" t="str">
        <f t="array" ref="BC45">ev_THFaktor($C$80,AY45)</f>
        <v>Local funcId 1690017901696 not found</v>
      </c>
    </row>
    <row r="46" spans="1:55" x14ac:dyDescent="0.25">
      <c r="A46">
        <v>1300.71</v>
      </c>
      <c r="B46">
        <f t="shared" si="0"/>
        <v>42037.8</v>
      </c>
      <c r="C46">
        <v>0.10121570400544261</v>
      </c>
      <c r="D46" t="str">
        <v>Local funcId 1690017899200 not found</v>
      </c>
      <c r="E46" t="e">
        <f t="array" ref="E46">(1-C46/D46)^2</f>
        <v>#VALUE!</v>
      </c>
      <c r="G46" t="str">
        <f t="shared" si="1"/>
        <v>Local funcId 1690017901696 not found</v>
      </c>
      <c r="M46">
        <v>1301.07</v>
      </c>
      <c r="N46">
        <f t="shared" si="2"/>
        <v>42059.399999999994</v>
      </c>
      <c r="O46">
        <v>2.8417719694567658E-2</v>
      </c>
      <c r="P46" t="str">
        <v>Local funcId 1690017899200 not found</v>
      </c>
      <c r="Q46" t="e">
        <f t="array" ref="Q46">(1-O46/P46)^2</f>
        <v>#VALUE!</v>
      </c>
      <c r="S46" t="str">
        <f t="shared" si="3"/>
        <v>Local funcId 1690017901696 not found</v>
      </c>
      <c r="AB46" t="str">
        <v>Local funcId 1690017899200 not found</v>
      </c>
      <c r="AC46" t="e">
        <f t="array" ref="AC46">(1-AA46/AB46)^2</f>
        <v>#VALUE!</v>
      </c>
      <c r="AE46" t="str">
        <f t="shared" si="9"/>
        <v>Local funcId 1690017901696 not found</v>
      </c>
      <c r="AK46">
        <v>1301.06</v>
      </c>
      <c r="AL46">
        <f t="shared" si="5"/>
        <v>42056.399999999994</v>
      </c>
      <c r="AM46">
        <v>0.20556262649446044</v>
      </c>
      <c r="AN46" t="str">
        <v>Local funcId 1690017899200 not found</v>
      </c>
      <c r="AO46" t="e">
        <f t="array" ref="AO46">(1-AM46/AN46)^2</f>
        <v>#VALUE!</v>
      </c>
      <c r="AQ46" t="str">
        <f t="array" ref="AQ46">ev_THFaktor($C$79,AM46)</f>
        <v>Local funcId 1690017901696 not found</v>
      </c>
      <c r="AW46">
        <v>1301.06</v>
      </c>
      <c r="AX46">
        <f t="shared" si="6"/>
        <v>42055.799999999988</v>
      </c>
      <c r="AY46">
        <v>8.4036311626141696E-2</v>
      </c>
      <c r="AZ46" t="str">
        <v>Local funcId 1690017899200 not found</v>
      </c>
      <c r="BA46" t="e">
        <f t="array" ref="BA46">(1-AY46/AZ46)^2</f>
        <v>#VALUE!</v>
      </c>
      <c r="BC46" t="str">
        <f t="array" ref="BC46">ev_THFaktor($C$80,AY46)</f>
        <v>Local funcId 1690017901696 not found</v>
      </c>
    </row>
    <row r="47" spans="1:55" x14ac:dyDescent="0.25">
      <c r="A47">
        <v>1317.39</v>
      </c>
      <c r="B47">
        <f t="shared" si="0"/>
        <v>43038.600000000006</v>
      </c>
      <c r="C47">
        <v>0.10243570339445561</v>
      </c>
      <c r="D47" t="str">
        <v>Local funcId 1690017899200 not found</v>
      </c>
      <c r="E47" t="e">
        <f t="array" ref="E47">(1-C47/D47)^2</f>
        <v>#VALUE!</v>
      </c>
      <c r="G47" t="str">
        <f t="shared" si="1"/>
        <v>Local funcId 1690017901696 not found</v>
      </c>
      <c r="M47">
        <v>1317.76</v>
      </c>
      <c r="N47">
        <f t="shared" si="2"/>
        <v>43060.800000000003</v>
      </c>
      <c r="O47">
        <v>2.8687393260267553E-2</v>
      </c>
      <c r="P47" t="str">
        <v>Local funcId 1690017899200 not found</v>
      </c>
      <c r="Q47" t="e">
        <f t="array" ref="Q47">(1-O47/P47)^2</f>
        <v>#VALUE!</v>
      </c>
      <c r="S47" t="str">
        <f t="shared" si="3"/>
        <v>Local funcId 1690017901696 not found</v>
      </c>
      <c r="AB47" t="str">
        <v>Local funcId 1690017899200 not found</v>
      </c>
      <c r="AC47" t="e">
        <f t="array" ref="AC47">(1-AA47/AB47)^2</f>
        <v>#VALUE!</v>
      </c>
      <c r="AE47" t="str">
        <f t="shared" si="9"/>
        <v>Local funcId 1690017901696 not found</v>
      </c>
      <c r="AK47">
        <v>1317.75</v>
      </c>
      <c r="AL47">
        <f t="shared" si="5"/>
        <v>43057.8</v>
      </c>
      <c r="AM47">
        <v>0.20564135463445429</v>
      </c>
      <c r="AN47" t="str">
        <v>Local funcId 1690017899200 not found</v>
      </c>
      <c r="AO47" t="e">
        <f t="array" ref="AO47">(1-AM47/AN47)^2</f>
        <v>#VALUE!</v>
      </c>
      <c r="AQ47" t="str">
        <f t="array" ref="AQ47">ev_THFaktor($C$79,AM47)</f>
        <v>Local funcId 1690017901696 not found</v>
      </c>
      <c r="AW47">
        <v>1317.75</v>
      </c>
      <c r="AX47">
        <f t="shared" si="6"/>
        <v>43057.2</v>
      </c>
      <c r="AY47">
        <v>8.4431840064422267E-2</v>
      </c>
      <c r="AZ47" t="str">
        <v>Local funcId 1690017899200 not found</v>
      </c>
      <c r="BA47" t="e">
        <f t="array" ref="BA47">(1-AY47/AZ47)^2</f>
        <v>#VALUE!</v>
      </c>
      <c r="BC47" t="str">
        <f t="array" ref="BC47">ev_THFaktor($C$80,AY47)</f>
        <v>Local funcId 1690017901696 not found</v>
      </c>
    </row>
    <row r="48" spans="1:55" x14ac:dyDescent="0.25">
      <c r="A48">
        <v>1334.07</v>
      </c>
      <c r="B48">
        <f t="shared" si="0"/>
        <v>44039.399999999994</v>
      </c>
      <c r="C48">
        <v>0.10363602649899703</v>
      </c>
      <c r="D48" t="str">
        <v>Local funcId 1690017899200 not found</v>
      </c>
      <c r="E48" t="e">
        <f t="array" ref="E48">(1-C48/D48)^2</f>
        <v>#VALUE!</v>
      </c>
      <c r="G48" t="str">
        <f t="shared" si="1"/>
        <v>Local funcId 1690017901696 not found</v>
      </c>
      <c r="M48">
        <v>1334.45</v>
      </c>
      <c r="N48">
        <f t="shared" si="2"/>
        <v>44062.2</v>
      </c>
      <c r="O48">
        <v>2.895249994692908E-2</v>
      </c>
      <c r="P48" t="str">
        <v>Local funcId 1690017899200 not found</v>
      </c>
      <c r="Q48" t="e">
        <f t="array" ref="Q48">(1-O48/P48)^2</f>
        <v>#VALUE!</v>
      </c>
      <c r="S48" t="str">
        <f t="shared" si="3"/>
        <v>Local funcId 1690017901696 not found</v>
      </c>
      <c r="AB48" t="str">
        <v>Local funcId 1690017899200 not found</v>
      </c>
      <c r="AC48" t="e">
        <f t="array" ref="AC48">(1-AA48/AB48)^2</f>
        <v>#VALUE!</v>
      </c>
      <c r="AE48" t="str">
        <f t="shared" si="9"/>
        <v>Local funcId 1690017901696 not found</v>
      </c>
      <c r="AK48">
        <v>1334.44</v>
      </c>
      <c r="AL48">
        <f t="shared" si="5"/>
        <v>44059.200000000012</v>
      </c>
      <c r="AM48">
        <v>0.20569935485889815</v>
      </c>
      <c r="AN48" t="str">
        <v>Local funcId 1690017899200 not found</v>
      </c>
      <c r="AO48" t="e">
        <f t="array" ref="AO48">(1-AM48/AN48)^2</f>
        <v>#VALUE!</v>
      </c>
      <c r="AQ48" t="str">
        <f t="array" ref="AQ48">ev_THFaktor($C$79,AM48)</f>
        <v>Local funcId 1690017901696 not found</v>
      </c>
      <c r="AW48">
        <v>1334.44</v>
      </c>
      <c r="AX48">
        <f t="shared" si="6"/>
        <v>44058.600000000006</v>
      </c>
      <c r="AY48">
        <v>8.4837703053457073E-2</v>
      </c>
      <c r="AZ48" t="str">
        <v>Local funcId 1690017899200 not found</v>
      </c>
      <c r="BA48" t="e">
        <f t="array" ref="BA48">(1-AY48/AZ48)^2</f>
        <v>#VALUE!</v>
      </c>
      <c r="BC48" t="str">
        <f t="array" ref="BC48">ev_THFaktor($C$80,AY48)</f>
        <v>Local funcId 1690017901696 not found</v>
      </c>
    </row>
    <row r="49" spans="1:55" x14ac:dyDescent="0.25">
      <c r="A49">
        <v>1350.75</v>
      </c>
      <c r="B49">
        <f t="shared" si="0"/>
        <v>45040.2</v>
      </c>
      <c r="C49">
        <v>0.10481179443078188</v>
      </c>
      <c r="D49" t="str">
        <v>Local funcId 1690017899200 not found</v>
      </c>
      <c r="E49" t="e">
        <f t="array" ref="E49">(1-C49/D49)^2</f>
        <v>#VALUE!</v>
      </c>
      <c r="G49" t="str">
        <f t="shared" si="1"/>
        <v>Local funcId 1690017901696 not found</v>
      </c>
      <c r="M49">
        <v>1351.13</v>
      </c>
      <c r="N49">
        <f t="shared" si="2"/>
        <v>45063</v>
      </c>
      <c r="O49">
        <v>2.9207160582536498E-2</v>
      </c>
      <c r="P49" t="str">
        <v>Local funcId 1690017899200 not found</v>
      </c>
      <c r="Q49" t="e">
        <f t="array" ref="Q49">(1-O49/P49)^2</f>
        <v>#VALUE!</v>
      </c>
      <c r="S49" t="str">
        <f t="shared" si="3"/>
        <v>Local funcId 1690017901696 not found</v>
      </c>
      <c r="AB49" t="str">
        <v>Local funcId 1690017899200 not found</v>
      </c>
      <c r="AC49" t="e">
        <f t="array" ref="AC49">(1-AA49/AB49)^2</f>
        <v>#VALUE!</v>
      </c>
      <c r="AE49" t="str">
        <f t="shared" si="9"/>
        <v>Local funcId 1690017901696 not found</v>
      </c>
      <c r="AK49">
        <v>1351.13</v>
      </c>
      <c r="AL49">
        <f t="shared" si="5"/>
        <v>45060.600000000006</v>
      </c>
      <c r="AM49">
        <v>0.20572420950523365</v>
      </c>
      <c r="AN49" t="str">
        <v>Local funcId 1690017899200 not found</v>
      </c>
      <c r="AO49" t="e">
        <f t="array" ref="AO49">(1-AM49/AN49)^2</f>
        <v>#VALUE!</v>
      </c>
      <c r="AQ49" t="str">
        <f t="array" ref="AQ49">ev_THFaktor($C$79,AM49)</f>
        <v>Local funcId 1690017901696 not found</v>
      </c>
      <c r="AW49">
        <v>1351.13</v>
      </c>
      <c r="AX49">
        <f t="shared" si="6"/>
        <v>45060</v>
      </c>
      <c r="AY49">
        <v>8.5275204486756989E-2</v>
      </c>
      <c r="AZ49" t="str">
        <v>Local funcId 1690017899200 not found</v>
      </c>
      <c r="BA49" t="e">
        <f t="array" ref="BA49">(1-AY49/AZ49)^2</f>
        <v>#VALUE!</v>
      </c>
      <c r="BC49" t="str">
        <f t="array" ref="BC49">ev_THFaktor($C$80,AY49)</f>
        <v>Local funcId 1690017901696 not found</v>
      </c>
    </row>
    <row r="50" spans="1:55" x14ac:dyDescent="0.25">
      <c r="A50">
        <v>1367.43</v>
      </c>
      <c r="B50">
        <f t="shared" si="0"/>
        <v>46041</v>
      </c>
      <c r="C50">
        <v>0.10597446121686109</v>
      </c>
      <c r="D50" t="str">
        <v>Local funcId 1690017899200 not found</v>
      </c>
      <c r="E50" t="e">
        <f t="array" ref="E50">(1-C50/D50)^2</f>
        <v>#VALUE!</v>
      </c>
      <c r="G50" t="str">
        <f t="shared" si="1"/>
        <v>Local funcId 1690017901696 not found</v>
      </c>
      <c r="M50">
        <v>1367.82</v>
      </c>
      <c r="N50">
        <f t="shared" si="2"/>
        <v>46064.399999999994</v>
      </c>
      <c r="O50">
        <v>2.946462941128344E-2</v>
      </c>
      <c r="P50" t="str">
        <v>Local funcId 1690017899200 not found</v>
      </c>
      <c r="Q50" t="e">
        <f t="array" ref="Q50">(1-O50/P50)^2</f>
        <v>#VALUE!</v>
      </c>
      <c r="S50" t="str">
        <f t="shared" si="3"/>
        <v>Local funcId 1690017901696 not found</v>
      </c>
      <c r="AB50" t="str">
        <v>Local funcId 1690017899200 not found</v>
      </c>
      <c r="AC50" t="e">
        <f t="array" ref="AC50">(1-AA50/AB50)^2</f>
        <v>#VALUE!</v>
      </c>
      <c r="AE50" t="str">
        <f t="shared" si="9"/>
        <v>Local funcId 1690017901696 not found</v>
      </c>
      <c r="AK50">
        <v>1367.82</v>
      </c>
      <c r="AL50">
        <f t="shared" si="5"/>
        <v>46062</v>
      </c>
      <c r="AM50">
        <v>0.20573249404169008</v>
      </c>
      <c r="AN50" t="str">
        <v>Local funcId 1690017899200 not found</v>
      </c>
      <c r="AO50" t="e">
        <f t="array" ref="AO50">(1-AM50/AN50)^2</f>
        <v>#VALUE!</v>
      </c>
      <c r="AQ50" t="str">
        <f t="array" ref="AQ50">ev_THFaktor($C$79,AM50)</f>
        <v>Local funcId 1690017901696 not found</v>
      </c>
      <c r="AW50">
        <v>1367.82</v>
      </c>
      <c r="AX50">
        <f t="shared" si="6"/>
        <v>46061.399999999994</v>
      </c>
      <c r="AY50">
        <v>8.5680320274120703E-2</v>
      </c>
      <c r="AZ50" t="str">
        <v>Local funcId 1690017899200 not found</v>
      </c>
      <c r="BA50" t="e">
        <f t="array" ref="BA50">(1-AY50/AZ50)^2</f>
        <v>#VALUE!</v>
      </c>
      <c r="BC50" t="str">
        <f t="array" ref="BC50">ev_THFaktor($C$80,AY50)</f>
        <v>Local funcId 1690017901696 not found</v>
      </c>
    </row>
    <row r="51" spans="1:55" x14ac:dyDescent="0.25">
      <c r="A51">
        <v>1384.12</v>
      </c>
      <c r="B51">
        <f t="shared" si="0"/>
        <v>47042.399999999994</v>
      </c>
      <c r="C51">
        <v>0.10711662056024554</v>
      </c>
      <c r="D51" t="str">
        <v>Local funcId 1690017899200 not found</v>
      </c>
      <c r="E51" t="e">
        <f t="array" ref="E51">(1-C51/D51)^2</f>
        <v>#VALUE!</v>
      </c>
      <c r="G51" t="str">
        <f t="shared" si="1"/>
        <v>Local funcId 1690017901696 not found</v>
      </c>
      <c r="M51">
        <v>1384.51</v>
      </c>
      <c r="N51">
        <f t="shared" si="2"/>
        <v>47065.8</v>
      </c>
      <c r="O51">
        <v>2.9714611249492505E-2</v>
      </c>
      <c r="P51" t="str">
        <v>Local funcId 1690017899200 not found</v>
      </c>
      <c r="Q51" t="e">
        <f t="array" ref="Q51">(1-O51/P51)^2</f>
        <v>#VALUE!</v>
      </c>
      <c r="S51" t="str">
        <f t="shared" si="3"/>
        <v>Local funcId 1690017901696 not found</v>
      </c>
      <c r="AB51" t="str">
        <v>Local funcId 1690017899200 not found</v>
      </c>
      <c r="AC51" t="e">
        <f t="array" ref="AC51">(1-AA51/AB51)^2</f>
        <v>#VALUE!</v>
      </c>
      <c r="AE51" t="str">
        <f t="shared" si="9"/>
        <v>Local funcId 1690017901696 not found</v>
      </c>
      <c r="AK51">
        <v>1384.5</v>
      </c>
      <c r="AL51">
        <f t="shared" si="5"/>
        <v>47062.8</v>
      </c>
      <c r="AM51">
        <v>0.2057200671721966</v>
      </c>
      <c r="AN51" t="str">
        <v>Local funcId 1690017899200 not found</v>
      </c>
      <c r="AO51" t="e">
        <f t="array" ref="AO51">(1-AM51/AN51)^2</f>
        <v>#VALUE!</v>
      </c>
      <c r="AQ51" t="str">
        <f t="array" ref="AQ51">ev_THFaktor($C$79,AM51)</f>
        <v>Local funcId 1690017901696 not found</v>
      </c>
      <c r="AW51">
        <v>1384.5</v>
      </c>
      <c r="AX51">
        <f t="shared" si="6"/>
        <v>47062.2</v>
      </c>
      <c r="AY51">
        <v>8.6143630962781617E-2</v>
      </c>
      <c r="AZ51" t="str">
        <v>Local funcId 1690017899200 not found</v>
      </c>
      <c r="BA51" t="e">
        <f t="array" ref="BA51">(1-AY51/AZ51)^2</f>
        <v>#VALUE!</v>
      </c>
      <c r="BC51" t="str">
        <f t="array" ref="BC51">ev_THFaktor($C$80,AY51)</f>
        <v>Local funcId 1690017901696 not found</v>
      </c>
    </row>
    <row r="52" spans="1:55" x14ac:dyDescent="0.25">
      <c r="A52">
        <v>1400.8</v>
      </c>
      <c r="B52">
        <f t="shared" si="0"/>
        <v>48043.199999999997</v>
      </c>
      <c r="C52">
        <v>0.10824215676546671</v>
      </c>
      <c r="D52" t="str">
        <v>Local funcId 1690017899200 not found</v>
      </c>
      <c r="E52" t="e">
        <f t="array" ref="E52">(1-C52/D52)^2</f>
        <v>#VALUE!</v>
      </c>
      <c r="G52" t="str">
        <f t="shared" si="1"/>
        <v>Local funcId 1690017901696 not found</v>
      </c>
      <c r="M52">
        <v>1401.2</v>
      </c>
      <c r="N52">
        <f t="shared" si="2"/>
        <v>48067.199999999997</v>
      </c>
      <c r="O52">
        <v>2.9961525644521314E-2</v>
      </c>
      <c r="P52" t="str">
        <v>Local funcId 1690017899200 not found</v>
      </c>
      <c r="Q52" t="e">
        <f t="array" ref="Q52">(1-O52/P52)^2</f>
        <v>#VALUE!</v>
      </c>
      <c r="S52" t="str">
        <f t="shared" si="3"/>
        <v>Local funcId 1690017901696 not found</v>
      </c>
      <c r="AB52" t="str">
        <v>Local funcId 1690017899200 not found</v>
      </c>
      <c r="AC52" t="e">
        <f t="array" ref="AC52">(1-AA52/AB52)^2</f>
        <v>#VALUE!</v>
      </c>
      <c r="AE52" t="str">
        <f t="shared" si="9"/>
        <v>Local funcId 1690017901696 not found</v>
      </c>
      <c r="AK52">
        <v>1401.19</v>
      </c>
      <c r="AL52">
        <f t="shared" si="5"/>
        <v>48064.200000000012</v>
      </c>
      <c r="AM52">
        <v>0.20568692695240393</v>
      </c>
      <c r="AN52" t="str">
        <v>Local funcId 1690017899200 not found</v>
      </c>
      <c r="AO52" t="e">
        <f t="array" ref="AO52">(1-AM52/AN52)^2</f>
        <v>#VALUE!</v>
      </c>
      <c r="AQ52" t="str">
        <f t="array" ref="AQ52">ev_THFaktor($C$79,AM52)</f>
        <v>Local funcId 1690017901696 not found</v>
      </c>
      <c r="AW52">
        <v>1401.19</v>
      </c>
      <c r="AX52">
        <f t="shared" si="6"/>
        <v>48063.600000000006</v>
      </c>
      <c r="AY52">
        <v>8.6468201058508803E-2</v>
      </c>
      <c r="AZ52" t="str">
        <v>Local funcId 1690017899200 not found</v>
      </c>
      <c r="BA52" t="e">
        <f t="array" ref="BA52">(1-AY52/AZ52)^2</f>
        <v>#VALUE!</v>
      </c>
      <c r="BC52" t="str">
        <f t="array" ref="BC52">ev_THFaktor($C$80,AY52)</f>
        <v>Local funcId 1690017901696 not found</v>
      </c>
    </row>
    <row r="53" spans="1:55" x14ac:dyDescent="0.25">
      <c r="A53">
        <v>1417.48</v>
      </c>
      <c r="B53">
        <f t="shared" si="0"/>
        <v>49044</v>
      </c>
      <c r="C53">
        <v>0.10934621182513543</v>
      </c>
      <c r="D53" t="str">
        <v>Local funcId 1690017899200 not found</v>
      </c>
      <c r="E53" t="e">
        <f t="array" ref="E53">(1-C53/D53)^2</f>
        <v>#VALUE!</v>
      </c>
      <c r="G53" t="str">
        <f t="shared" si="1"/>
        <v>Local funcId 1690017901696 not found</v>
      </c>
      <c r="M53">
        <v>1417.89</v>
      </c>
      <c r="N53">
        <f t="shared" si="2"/>
        <v>49068.600000000006</v>
      </c>
      <c r="O53">
        <v>3.0203908562948186E-2</v>
      </c>
      <c r="P53" t="str">
        <v>Local funcId 1690017899200 not found</v>
      </c>
      <c r="Q53" t="e">
        <f t="array" ref="Q53">(1-O53/P53)^2</f>
        <v>#VALUE!</v>
      </c>
      <c r="S53" t="str">
        <f t="shared" si="3"/>
        <v>Local funcId 1690017901696 not found</v>
      </c>
      <c r="AB53" t="str">
        <v>Local funcId 1690017899200 not found</v>
      </c>
      <c r="AC53" t="e">
        <f t="array" ref="AC53">(1-AA53/AB53)^2</f>
        <v>#VALUE!</v>
      </c>
      <c r="AE53" t="str">
        <f t="shared" si="9"/>
        <v>Local funcId 1690017901696 not found</v>
      </c>
      <c r="AK53">
        <v>1417.88</v>
      </c>
      <c r="AL53">
        <f t="shared" si="5"/>
        <v>49065.600000000006</v>
      </c>
      <c r="AM53">
        <v>0.205624781585934</v>
      </c>
      <c r="AN53" t="str">
        <v>Local funcId 1690017899200 not found</v>
      </c>
      <c r="AO53" t="e">
        <f t="array" ref="AO53">(1-AM53/AN53)^2</f>
        <v>#VALUE!</v>
      </c>
      <c r="AQ53" t="str">
        <f t="array" ref="AQ53">ev_THFaktor($C$79,AM53)</f>
        <v>Local funcId 1690017901696 not found</v>
      </c>
      <c r="AW53">
        <v>1417.88</v>
      </c>
      <c r="AX53">
        <f t="shared" si="6"/>
        <v>49065</v>
      </c>
      <c r="AY53">
        <v>8.6813800810168831E-2</v>
      </c>
      <c r="AZ53" t="str">
        <v>Local funcId 1690017899200 not found</v>
      </c>
      <c r="BA53" t="e">
        <f t="array" ref="BA53">(1-AY53/AZ53)^2</f>
        <v>#VALUE!</v>
      </c>
      <c r="BC53" t="str">
        <f t="array" ref="BC53">ev_THFaktor($C$80,AY53)</f>
        <v>Local funcId 1690017901696 not found</v>
      </c>
    </row>
    <row r="54" spans="1:55" x14ac:dyDescent="0.25">
      <c r="A54">
        <v>1434.16</v>
      </c>
      <c r="B54">
        <f t="shared" si="0"/>
        <v>50044.800000000003</v>
      </c>
      <c r="C54">
        <v>0.11043513537250617</v>
      </c>
      <c r="D54" t="str">
        <v>Local funcId 1690017899200 not found</v>
      </c>
      <c r="E54" t="e">
        <f t="array" ref="E54">(1-C54/D54)^2</f>
        <v>#VALUE!</v>
      </c>
      <c r="G54" t="str">
        <f t="shared" si="1"/>
        <v>Local funcId 1690017901696 not found</v>
      </c>
      <c r="M54">
        <v>1434.58</v>
      </c>
      <c r="N54">
        <f t="shared" si="2"/>
        <v>50069.999999999985</v>
      </c>
      <c r="O54">
        <v>3.0446170383491688E-2</v>
      </c>
      <c r="P54" t="str">
        <v>Local funcId 1690017899200 not found</v>
      </c>
      <c r="Q54" t="e">
        <f t="array" ref="Q54">(1-O54/P54)^2</f>
        <v>#VALUE!</v>
      </c>
      <c r="S54" t="str">
        <f t="shared" si="3"/>
        <v>Local funcId 1690017901696 not found</v>
      </c>
      <c r="AB54" t="str">
        <v>Local funcId 1690017899200 not found</v>
      </c>
      <c r="AC54" t="e">
        <f t="array" ref="AC54">(1-AA54/AB54)^2</f>
        <v>#VALUE!</v>
      </c>
      <c r="AE54" t="str">
        <f t="shared" si="9"/>
        <v>Local funcId 1690017901696 not found</v>
      </c>
      <c r="AK54">
        <v>1434.57</v>
      </c>
      <c r="AL54">
        <f t="shared" si="5"/>
        <v>50067</v>
      </c>
      <c r="AM54">
        <v>0.20554605016066452</v>
      </c>
      <c r="AN54" t="str">
        <v>Local funcId 1690017899200 not found</v>
      </c>
      <c r="AO54" t="e">
        <f t="array" ref="AO54">(1-AM54/AN54)^2</f>
        <v>#VALUE!</v>
      </c>
      <c r="AQ54" t="str">
        <f t="array" ref="AQ54">ev_THFaktor($C$79,AM54)</f>
        <v>Local funcId 1690017901696 not found</v>
      </c>
      <c r="AW54">
        <v>1434.57</v>
      </c>
      <c r="AX54">
        <f t="shared" si="6"/>
        <v>50066.399999999994</v>
      </c>
      <c r="AY54">
        <v>8.7238795550797735E-2</v>
      </c>
      <c r="AZ54" t="str">
        <v>Local funcId 1690017899200 not found</v>
      </c>
      <c r="BA54" t="e">
        <f t="array" ref="BA54">(1-AY54/AZ54)^2</f>
        <v>#VALUE!</v>
      </c>
      <c r="BC54" t="str">
        <f t="array" ref="BC54">ev_THFaktor($C$80,AY54)</f>
        <v>Local funcId 1690017901696 not found</v>
      </c>
    </row>
    <row r="55" spans="1:55" x14ac:dyDescent="0.25">
      <c r="A55">
        <v>1450.84</v>
      </c>
      <c r="B55">
        <f t="shared" si="0"/>
        <v>51045.599999999991</v>
      </c>
      <c r="C55">
        <v>0.11150531690479139</v>
      </c>
      <c r="D55" t="str">
        <v>Local funcId 1690017899200 not found</v>
      </c>
      <c r="E55" t="e">
        <f t="array" ref="E55">(1-C55/D55)^2</f>
        <v>#VALUE!</v>
      </c>
      <c r="G55" t="str">
        <f t="shared" si="1"/>
        <v>Local funcId 1690017901696 not found</v>
      </c>
      <c r="M55">
        <v>1451.27</v>
      </c>
      <c r="N55">
        <f t="shared" si="2"/>
        <v>51071.399999999994</v>
      </c>
      <c r="O55">
        <v>3.0682442547046926E-2</v>
      </c>
      <c r="P55" t="str">
        <v>Local funcId 1690017899200 not found</v>
      </c>
      <c r="Q55" t="e">
        <f t="array" ref="Q55">(1-O55/P55)^2</f>
        <v>#VALUE!</v>
      </c>
      <c r="S55" t="str">
        <f t="shared" si="3"/>
        <v>Local funcId 1690017901696 not found</v>
      </c>
      <c r="AB55" t="str">
        <v>Local funcId 1690017899200 not found</v>
      </c>
      <c r="AC55" t="e">
        <f t="array" ref="AC55">(1-AA55/AB55)^2</f>
        <v>#VALUE!</v>
      </c>
      <c r="AE55" t="str">
        <f t="shared" si="9"/>
        <v>Local funcId 1690017901696 not found</v>
      </c>
      <c r="AK55">
        <v>1451.26</v>
      </c>
      <c r="AL55">
        <f t="shared" si="5"/>
        <v>51068.400000000009</v>
      </c>
      <c r="AM55">
        <v>0.20547144809740933</v>
      </c>
      <c r="AN55" t="str">
        <v>Local funcId 1690017899200 not found</v>
      </c>
      <c r="AO55" t="e">
        <f t="array" ref="AO55">(1-AM55/AN55)^2</f>
        <v>#VALUE!</v>
      </c>
      <c r="AQ55" t="str">
        <f t="array" ref="AQ55">ev_THFaktor($C$79,AM55)</f>
        <v>Local funcId 1690017901696 not found</v>
      </c>
      <c r="AW55">
        <v>1451.26</v>
      </c>
      <c r="AX55">
        <f t="shared" si="6"/>
        <v>51067.8</v>
      </c>
      <c r="AY55">
        <v>8.7594424381988847E-2</v>
      </c>
      <c r="AZ55" t="str">
        <v>Local funcId 1690017899200 not found</v>
      </c>
      <c r="BA55" t="e">
        <f t="array" ref="BA55">(1-AY55/AZ55)^2</f>
        <v>#VALUE!</v>
      </c>
      <c r="BC55" t="str">
        <f t="array" ref="BC55">ev_THFaktor($C$80,AY55)</f>
        <v>Local funcId 1690017901696 not found</v>
      </c>
    </row>
    <row r="56" spans="1:55" x14ac:dyDescent="0.25">
      <c r="A56">
        <v>1467.52</v>
      </c>
      <c r="B56">
        <f t="shared" si="0"/>
        <v>52046.399999999994</v>
      </c>
      <c r="C56">
        <v>0.1125618188797224</v>
      </c>
      <c r="D56" t="str">
        <v>Local funcId 1690017899200 not found</v>
      </c>
      <c r="E56" t="e">
        <f t="array" ref="E56">(1-C56/D56)^2</f>
        <v>#VALUE!</v>
      </c>
      <c r="G56" t="str">
        <f t="shared" si="1"/>
        <v>Local funcId 1690017901696 not found</v>
      </c>
      <c r="M56">
        <v>1467.95</v>
      </c>
      <c r="N56">
        <f t="shared" si="2"/>
        <v>52072.2</v>
      </c>
      <c r="O56">
        <v>3.0912733721936925E-2</v>
      </c>
      <c r="P56" t="str">
        <v>Local funcId 1690017899200 not found</v>
      </c>
      <c r="Q56" t="e">
        <f t="array" ref="Q56">(1-O56/P56)^2</f>
        <v>#VALUE!</v>
      </c>
      <c r="S56" t="str">
        <f t="shared" si="3"/>
        <v>Local funcId 1690017901696 not found</v>
      </c>
      <c r="AB56" t="str">
        <v>Local funcId 1690017899200 not found</v>
      </c>
      <c r="AC56" t="e">
        <f t="array" ref="AC56">(1-AA56/AB56)^2</f>
        <v>#VALUE!</v>
      </c>
      <c r="AE56" t="str">
        <f t="shared" si="9"/>
        <v>Local funcId 1690017901696 not found</v>
      </c>
      <c r="AK56">
        <v>1467.95</v>
      </c>
      <c r="AL56">
        <f t="shared" si="5"/>
        <v>52069.8</v>
      </c>
      <c r="AM56">
        <v>0.20538854048187988</v>
      </c>
      <c r="AN56" t="str">
        <v>Local funcId 1690017899200 not found</v>
      </c>
      <c r="AO56" t="e">
        <f t="array" ref="AO56">(1-AM56/AN56)^2</f>
        <v>#VALUE!</v>
      </c>
      <c r="AQ56" t="str">
        <f t="array" ref="AQ56">ev_THFaktor($C$79,AM56)</f>
        <v>Local funcId 1690017901696 not found</v>
      </c>
      <c r="AW56">
        <v>1467.95</v>
      </c>
      <c r="AX56">
        <f t="shared" si="6"/>
        <v>52069.2</v>
      </c>
      <c r="AY56">
        <v>8.7806608024278227E-2</v>
      </c>
      <c r="AZ56" t="str">
        <v>Local funcId 1690017899200 not found</v>
      </c>
      <c r="BA56" t="e">
        <f t="array" ref="BA56">(1-AY56/AZ56)^2</f>
        <v>#VALUE!</v>
      </c>
      <c r="BC56" t="str">
        <f t="array" ref="BC56">ev_THFaktor($C$80,AY56)</f>
        <v>Local funcId 1690017901696 not found</v>
      </c>
    </row>
    <row r="57" spans="1:55" x14ac:dyDescent="0.25">
      <c r="A57">
        <v>1484.21</v>
      </c>
      <c r="B57">
        <f t="shared" si="0"/>
        <v>53047.8</v>
      </c>
      <c r="C57">
        <v>0.11360349835597829</v>
      </c>
      <c r="D57" t="str">
        <v>Local funcId 1690017899200 not found</v>
      </c>
      <c r="E57" t="e">
        <f t="array" ref="E57">(1-C57/D57)^2</f>
        <v>#VALUE!</v>
      </c>
      <c r="G57" t="str">
        <f t="shared" si="1"/>
        <v>Local funcId 1690017901696 not found</v>
      </c>
      <c r="M57">
        <v>1484.64</v>
      </c>
      <c r="N57">
        <f t="shared" si="2"/>
        <v>53073.600000000006</v>
      </c>
      <c r="O57">
        <v>3.1135586553299746E-2</v>
      </c>
      <c r="P57" t="str">
        <v>Local funcId 1690017899200 not found</v>
      </c>
      <c r="Q57" t="e">
        <f t="array" ref="Q57">(1-O57/P57)^2</f>
        <v>#VALUE!</v>
      </c>
      <c r="S57" t="str">
        <f t="shared" si="3"/>
        <v>Local funcId 1690017901696 not found</v>
      </c>
      <c r="AB57" t="str">
        <v>Local funcId 1690017899200 not found</v>
      </c>
      <c r="AC57" t="e">
        <f t="array" ref="AC57">(1-AA57/AB57)^2</f>
        <v>#VALUE!</v>
      </c>
      <c r="AE57" t="str">
        <f t="shared" si="9"/>
        <v>Local funcId 1690017901696 not found</v>
      </c>
      <c r="AK57">
        <v>1484.64</v>
      </c>
      <c r="AL57">
        <f t="shared" si="5"/>
        <v>53071.200000000012</v>
      </c>
      <c r="AM57">
        <v>0.20529732211809412</v>
      </c>
      <c r="AN57" t="str">
        <v>Local funcId 1690017899200 not found</v>
      </c>
      <c r="AO57" t="e">
        <f t="array" ref="AO57">(1-AM57/AN57)^2</f>
        <v>#VALUE!</v>
      </c>
      <c r="AQ57" t="str">
        <f t="array" ref="AQ57">ev_THFaktor($C$79,AM57)</f>
        <v>Local funcId 1690017901696 not found</v>
      </c>
      <c r="AW57">
        <v>1484.64</v>
      </c>
      <c r="AX57">
        <f t="shared" si="6"/>
        <v>53070.600000000006</v>
      </c>
      <c r="AY57">
        <v>8.8124698511591271E-2</v>
      </c>
      <c r="AZ57" t="str">
        <v>Local funcId 1690017899200 not found</v>
      </c>
      <c r="BA57" t="e">
        <f t="array" ref="BA57">(1-AY57/AZ57)^2</f>
        <v>#VALUE!</v>
      </c>
      <c r="BC57" t="str">
        <f t="array" ref="BC57">ev_THFaktor($C$80,AY57)</f>
        <v>Local funcId 1690017901696 not found</v>
      </c>
    </row>
    <row r="58" spans="1:55" x14ac:dyDescent="0.25">
      <c r="A58">
        <v>1500.89</v>
      </c>
      <c r="B58">
        <f t="shared" si="0"/>
        <v>54048.600000000006</v>
      </c>
      <c r="C58">
        <v>0.11463045082945295</v>
      </c>
      <c r="D58" t="str">
        <v>Local funcId 1690017899200 not found</v>
      </c>
      <c r="E58" t="e">
        <f t="array" ref="E58">(1-C58/D58)^2</f>
        <v>#VALUE!</v>
      </c>
      <c r="G58" t="str">
        <f t="shared" si="1"/>
        <v>Local funcId 1690017901696 not found</v>
      </c>
      <c r="M58">
        <v>1501.33</v>
      </c>
      <c r="N58">
        <f t="shared" si="2"/>
        <v>54074.999999999985</v>
      </c>
      <c r="O58">
        <v>3.1358336913052155E-2</v>
      </c>
      <c r="P58" t="str">
        <v>Local funcId 1690017899200 not found</v>
      </c>
      <c r="Q58" t="e">
        <f t="array" ref="Q58">(1-O58/P58)^2</f>
        <v>#VALUE!</v>
      </c>
      <c r="S58" t="str">
        <f t="shared" si="3"/>
        <v>Local funcId 1690017901696 not found</v>
      </c>
      <c r="AB58" t="str">
        <v>Local funcId 1690017899200 not found</v>
      </c>
      <c r="AC58" t="e">
        <f t="array" ref="AC58">(1-AA58/AB58)^2</f>
        <v>#VALUE!</v>
      </c>
      <c r="AE58" t="str">
        <f t="shared" si="9"/>
        <v>Local funcId 1690017901696 not found</v>
      </c>
      <c r="AK58">
        <v>1501.33</v>
      </c>
      <c r="AL58">
        <f t="shared" si="5"/>
        <v>54072.599999999991</v>
      </c>
      <c r="AM58">
        <v>0.20520193506974727</v>
      </c>
      <c r="AN58" t="str">
        <v>Local funcId 1690017899200 not found</v>
      </c>
      <c r="AO58" t="e">
        <f t="array" ref="AO58">(1-AM58/AN58)^2</f>
        <v>#VALUE!</v>
      </c>
      <c r="AQ58" t="str">
        <f t="array" ref="AQ58">ev_THFaktor($C$79,AM58)</f>
        <v>Local funcId 1690017901696 not found</v>
      </c>
      <c r="AW58">
        <v>1501.33</v>
      </c>
      <c r="AX58">
        <f t="shared" si="6"/>
        <v>54071.999999999985</v>
      </c>
      <c r="AY58">
        <v>8.8490228429344606E-2</v>
      </c>
      <c r="AZ58" t="str">
        <v>Local funcId 1690017899200 not found</v>
      </c>
      <c r="BA58" t="e">
        <f t="array" ref="BA58">(1-AY58/AZ58)^2</f>
        <v>#VALUE!</v>
      </c>
      <c r="BC58" t="str">
        <f t="array" ref="BC58">ev_THFaktor($C$80,AY58)</f>
        <v>Local funcId 1690017901696 not found</v>
      </c>
    </row>
    <row r="59" spans="1:55" x14ac:dyDescent="0.25">
      <c r="A59">
        <v>1517.57</v>
      </c>
      <c r="B59">
        <f t="shared" si="0"/>
        <v>55049.399999999994</v>
      </c>
      <c r="C59">
        <v>0.11564767270232622</v>
      </c>
      <c r="D59" t="str">
        <v>Local funcId 1690017899200 not found</v>
      </c>
      <c r="E59" t="e">
        <f t="array" ref="E59">(1-C59/D59)^2</f>
        <v>#VALUE!</v>
      </c>
      <c r="G59" t="str">
        <f t="shared" si="1"/>
        <v>Local funcId 1690017901696 not found</v>
      </c>
      <c r="M59">
        <v>1518.02</v>
      </c>
      <c r="N59">
        <f t="shared" si="2"/>
        <v>55076.399999999994</v>
      </c>
      <c r="O59">
        <v>3.1572198077056871E-2</v>
      </c>
      <c r="P59" t="str">
        <v>Local funcId 1690017899200 not found</v>
      </c>
      <c r="Q59" t="e">
        <f t="array" ref="Q59">(1-O59/P59)^2</f>
        <v>#VALUE!</v>
      </c>
      <c r="S59" t="str">
        <f t="shared" si="3"/>
        <v>Local funcId 1690017901696 not found</v>
      </c>
      <c r="AB59" t="str">
        <v>Local funcId 1690017899200 not found</v>
      </c>
      <c r="AC59" t="e">
        <f t="array" ref="AC59">(1-AA59/AB59)^2</f>
        <v>#VALUE!</v>
      </c>
      <c r="AE59" t="str">
        <f t="shared" si="9"/>
        <v>Local funcId 1690017901696 not found</v>
      </c>
      <c r="AK59">
        <v>1518.01</v>
      </c>
      <c r="AL59">
        <f t="shared" si="5"/>
        <v>55073.400000000009</v>
      </c>
      <c r="AM59">
        <v>0.20508992974727813</v>
      </c>
      <c r="AN59" t="str">
        <v>Local funcId 1690017899200 not found</v>
      </c>
      <c r="AO59" t="e">
        <f t="array" ref="AO59">(1-AM59/AN59)^2</f>
        <v>#VALUE!</v>
      </c>
      <c r="AQ59" t="str">
        <f t="array" ref="AQ59">ev_THFaktor($C$79,AM59)</f>
        <v>Local funcId 1690017901696 not found</v>
      </c>
      <c r="AW59">
        <v>1518.02</v>
      </c>
      <c r="AX59">
        <f t="shared" si="6"/>
        <v>55073.399999999994</v>
      </c>
      <c r="AY59">
        <v>8.8696702696737309E-2</v>
      </c>
      <c r="AZ59" t="str">
        <v>Local funcId 1690017899200 not found</v>
      </c>
      <c r="BA59" t="e">
        <f t="array" ref="BA59">(1-AY59/AZ59)^2</f>
        <v>#VALUE!</v>
      </c>
      <c r="BC59" t="str">
        <f t="array" ref="BC59">ev_THFaktor($C$80,AY59)</f>
        <v>Local funcId 1690017901696 not found</v>
      </c>
    </row>
    <row r="60" spans="1:55" x14ac:dyDescent="0.25">
      <c r="A60">
        <v>1534.25</v>
      </c>
      <c r="B60">
        <f t="shared" si="0"/>
        <v>56050.2</v>
      </c>
      <c r="C60">
        <v>0.11664666281817546</v>
      </c>
      <c r="D60" t="str">
        <v>Local funcId 1690017899200 not found</v>
      </c>
      <c r="E60" t="e">
        <f t="array" ref="E60">(1-C60/D60)^2</f>
        <v>#VALUE!</v>
      </c>
      <c r="G60" t="str">
        <f t="shared" si="1"/>
        <v>Local funcId 1690017901696 not found</v>
      </c>
      <c r="M60">
        <v>1534.71</v>
      </c>
      <c r="N60">
        <f t="shared" si="2"/>
        <v>56077.8</v>
      </c>
      <c r="O60">
        <v>3.1780109461461759E-2</v>
      </c>
      <c r="P60" t="str">
        <v>Local funcId 1690017899200 not found</v>
      </c>
      <c r="Q60" t="e">
        <f t="array" ref="Q60">(1-O60/P60)^2</f>
        <v>#VALUE!</v>
      </c>
      <c r="S60" t="str">
        <f t="shared" si="3"/>
        <v>Local funcId 1690017901696 not found</v>
      </c>
      <c r="AB60" t="str">
        <v>Local funcId 1690017899200 not found</v>
      </c>
      <c r="AC60" t="e">
        <f t="array" ref="AC60">(1-AA60/AB60)^2</f>
        <v>#VALUE!</v>
      </c>
      <c r="AE60" t="str">
        <f t="shared" si="9"/>
        <v>Local funcId 1690017901696 not found</v>
      </c>
      <c r="AW60">
        <v>1534.71</v>
      </c>
      <c r="AX60">
        <f t="shared" si="6"/>
        <v>56074.8</v>
      </c>
      <c r="AY60">
        <v>8.8955986528858152E-2</v>
      </c>
      <c r="AZ60" t="str">
        <v>Local funcId 1690017899200 not found</v>
      </c>
      <c r="BA60" t="e">
        <f t="array" ref="BA60">(1-AY60/AZ60)^2</f>
        <v>#VALUE!</v>
      </c>
      <c r="BC60" t="str">
        <f t="array" ref="BC60">ev_THFaktor($C$80,AY60)</f>
        <v>Local funcId 1690017901696 not found</v>
      </c>
    </row>
    <row r="61" spans="1:55" x14ac:dyDescent="0.25">
      <c r="A61">
        <v>1550.93</v>
      </c>
      <c r="B61">
        <f t="shared" si="0"/>
        <v>57051</v>
      </c>
      <c r="C61">
        <v>0.11763119722000601</v>
      </c>
      <c r="D61" t="str">
        <v>Local funcId 1690017899200 not found</v>
      </c>
      <c r="E61" t="e">
        <f t="array" ref="E61">(1-C61/D61)^2</f>
        <v>#VALUE!</v>
      </c>
      <c r="G61" t="str">
        <f t="shared" si="1"/>
        <v>Local funcId 1690017901696 not found</v>
      </c>
      <c r="M61">
        <v>1551.4</v>
      </c>
      <c r="N61">
        <f t="shared" si="2"/>
        <v>57079.199999999997</v>
      </c>
      <c r="O61">
        <v>3.1987931592201577E-2</v>
      </c>
      <c r="P61" t="str">
        <v>Local funcId 1690017899200 not found</v>
      </c>
      <c r="Q61" t="e">
        <f t="array" ref="Q61">(1-O61/P61)^2</f>
        <v>#VALUE!</v>
      </c>
      <c r="S61" t="str">
        <f t="shared" si="3"/>
        <v>Local funcId 1690017901696 not found</v>
      </c>
      <c r="AB61" t="str">
        <v>Local funcId 1690017899200 not found</v>
      </c>
      <c r="AC61" t="e">
        <f t="array" ref="AC61">(1-AA61/AB61)^2</f>
        <v>#VALUE!</v>
      </c>
      <c r="AE61" t="str">
        <f t="shared" si="9"/>
        <v>Local funcId 1690017901696 not found</v>
      </c>
      <c r="AW61">
        <v>1551.39</v>
      </c>
      <c r="AX61">
        <f t="shared" si="6"/>
        <v>57075.600000000006</v>
      </c>
      <c r="AY61">
        <v>8.920983583718381E-2</v>
      </c>
      <c r="AZ61" t="str">
        <v>Local funcId 1690017899200 not found</v>
      </c>
      <c r="BA61" t="e">
        <f t="array" ref="BA61">(1-AY61/AZ61)^2</f>
        <v>#VALUE!</v>
      </c>
      <c r="BC61" t="str">
        <f t="array" ref="BC61">ev_THFaktor($C$80,AY61)</f>
        <v>Local funcId 1690017901696 not found</v>
      </c>
    </row>
    <row r="62" spans="1:55" x14ac:dyDescent="0.25">
      <c r="A62">
        <v>1567.61</v>
      </c>
      <c r="B62">
        <f t="shared" si="0"/>
        <v>58051.799999999988</v>
      </c>
      <c r="C62">
        <v>0.11860014752155505</v>
      </c>
      <c r="D62" t="str">
        <v>Local funcId 1690017899200 not found</v>
      </c>
      <c r="E62" t="e">
        <f t="array" ref="E62">(1-C62/D62)^2</f>
        <v>#VALUE!</v>
      </c>
      <c r="G62" t="str">
        <f t="shared" si="1"/>
        <v>Local funcId 1690017901696 not found</v>
      </c>
      <c r="M62">
        <v>1568.09</v>
      </c>
      <c r="N62">
        <f t="shared" si="2"/>
        <v>58080.599999999991</v>
      </c>
      <c r="O62">
        <v>3.2186888882843878E-2</v>
      </c>
      <c r="P62" t="str">
        <v>Local funcId 1690017899200 not found</v>
      </c>
      <c r="Q62" t="e">
        <f t="array" ref="Q62">(1-O62/P62)^2</f>
        <v>#VALUE!</v>
      </c>
      <c r="S62" t="str">
        <f t="shared" si="3"/>
        <v>Local funcId 1690017901696 not found</v>
      </c>
      <c r="AB62" t="str">
        <v>Local funcId 1690017899200 not found</v>
      </c>
      <c r="AC62" t="e">
        <f t="array" ref="AC62">(1-AA62/AB62)^2</f>
        <v>#VALUE!</v>
      </c>
      <c r="AE62" t="str">
        <f t="shared" si="9"/>
        <v>Local funcId 1690017901696 not found</v>
      </c>
      <c r="AW62">
        <v>1568.08</v>
      </c>
      <c r="AX62">
        <f t="shared" si="6"/>
        <v>58076.999999999985</v>
      </c>
      <c r="AY62">
        <v>8.9458259582740771E-2</v>
      </c>
      <c r="AZ62" t="str">
        <v>Local funcId 1690017899200 not found</v>
      </c>
      <c r="BA62" t="e">
        <f t="array" ref="BA62">(1-AY62/AZ62)^2</f>
        <v>#VALUE!</v>
      </c>
      <c r="BC62" t="str">
        <f t="array" ref="BC62">ev_THFaktor($C$80,AY62)</f>
        <v>Local funcId 1690017901696 not found</v>
      </c>
    </row>
    <row r="63" spans="1:55" x14ac:dyDescent="0.25">
      <c r="A63">
        <v>1584.29</v>
      </c>
      <c r="B63">
        <f t="shared" si="0"/>
        <v>59052.599999999991</v>
      </c>
      <c r="C63">
        <v>0.11955968325673225</v>
      </c>
      <c r="D63" t="str">
        <v>Local funcId 1690017899200 not found</v>
      </c>
      <c r="E63" t="e">
        <f t="array" ref="E63">(1-C63/D63)^2</f>
        <v>#VALUE!</v>
      </c>
      <c r="G63" t="str">
        <f t="shared" si="1"/>
        <v>Local funcId 1690017901696 not found</v>
      </c>
      <c r="AB63" t="str">
        <v>Local funcId 1690017899200 not found</v>
      </c>
      <c r="AC63" t="e">
        <f t="array" ref="AC63">(1-AA63/AB63)^2</f>
        <v>#VALUE!</v>
      </c>
      <c r="AE63" t="str">
        <f t="shared" si="9"/>
        <v>Local funcId 1690017901696 not found</v>
      </c>
      <c r="AW63">
        <v>1584.77</v>
      </c>
      <c r="AX63">
        <f t="shared" si="6"/>
        <v>59078.399999999994</v>
      </c>
      <c r="AY63">
        <v>8.9748796194233094E-2</v>
      </c>
      <c r="AZ63" t="str">
        <v>Local funcId 1690017899200 not found</v>
      </c>
      <c r="BA63" t="e">
        <f t="array" ref="BA63">(1-AY63/AZ63)^2</f>
        <v>#VALUE!</v>
      </c>
      <c r="BC63" t="str">
        <f t="array" ref="BC63">ev_THFaktor($C$80,AY63)</f>
        <v>Local funcId 1690017901696 not found</v>
      </c>
    </row>
    <row r="64" spans="1:55" x14ac:dyDescent="0.25">
      <c r="A64">
        <v>1600.98</v>
      </c>
      <c r="B64">
        <f t="shared" si="0"/>
        <v>60054</v>
      </c>
      <c r="C64">
        <v>0.12050137348437755</v>
      </c>
      <c r="D64" t="str">
        <v>Local funcId 1690017899200 not found</v>
      </c>
      <c r="E64" t="e">
        <f t="array" ref="E64">(1-C64/D64)^2</f>
        <v>#VALUE!</v>
      </c>
      <c r="G64" t="str">
        <f t="shared" si="1"/>
        <v>Local funcId 1690017901696 not found</v>
      </c>
      <c r="AB64" t="str">
        <v>Local funcId 1690017899200 not found</v>
      </c>
      <c r="AC64" t="e">
        <f t="array" ref="AC64">(1-AA64/AB64)^2</f>
        <v>#VALUE!</v>
      </c>
      <c r="AE64" t="str">
        <f t="shared" si="9"/>
        <v>Local funcId 1690017901696 not found</v>
      </c>
      <c r="AW64">
        <v>1601.46</v>
      </c>
      <c r="AX64">
        <f t="shared" si="6"/>
        <v>60079.8</v>
      </c>
      <c r="AY64">
        <v>8.9912471505385255E-2</v>
      </c>
      <c r="AZ64" t="str">
        <v>Local funcId 1690017899200 not found</v>
      </c>
      <c r="BA64" t="e">
        <f t="array" ref="BA64">(1-AY64/AZ64)^2</f>
        <v>#VALUE!</v>
      </c>
      <c r="BC64" t="str">
        <f t="array" ref="BC64">ev_THFaktor($C$80,AY64)</f>
        <v>Local funcId 1690017901696 not found</v>
      </c>
    </row>
    <row r="65" spans="2:55" x14ac:dyDescent="0.25">
      <c r="AB65" t="str">
        <v>Local funcId 1690017899200 not found</v>
      </c>
      <c r="AC65" t="e">
        <f t="array" ref="AC65">(1-AA65/AB65)^2</f>
        <v>#VALUE!</v>
      </c>
      <c r="AE65" t="str">
        <f t="shared" si="9"/>
        <v>Local funcId 1690017901696 not found</v>
      </c>
      <c r="AW65">
        <v>1618.15</v>
      </c>
      <c r="AX65">
        <f t="shared" si="6"/>
        <v>61081.2</v>
      </c>
      <c r="AY65">
        <v>9.0118302018092886E-2</v>
      </c>
      <c r="AZ65" t="str">
        <v>Local funcId 1690017899200 not found</v>
      </c>
      <c r="BA65" t="e">
        <f t="array" ref="BA65">(1-AY65/AZ65)^2</f>
        <v>#VALUE!</v>
      </c>
      <c r="BC65" t="str">
        <f t="array" ref="BC65">ev_THFaktor($C$80,AY65)</f>
        <v>Local funcId 1690017901696 not found</v>
      </c>
    </row>
    <row r="66" spans="2:55" x14ac:dyDescent="0.25">
      <c r="AB66" t="str">
        <v>Local funcId 1690017899200 not found</v>
      </c>
      <c r="AC66" t="e">
        <f t="array" ref="AC66">(1-AA66/AB66)^2</f>
        <v>#VALUE!</v>
      </c>
      <c r="AE66" t="str">
        <f t="shared" si="9"/>
        <v>Local funcId 1690017901696 not found</v>
      </c>
      <c r="AW66">
        <v>1634.84</v>
      </c>
      <c r="AX66">
        <f t="shared" si="6"/>
        <v>62082.599999999991</v>
      </c>
      <c r="AY66">
        <v>9.032403944828038E-2</v>
      </c>
      <c r="AZ66" t="str">
        <v>Local funcId 1690017899200 not found</v>
      </c>
      <c r="BA66" t="e">
        <f t="array" ref="BA66">(1-AY66/AZ66)^2</f>
        <v>#VALUE!</v>
      </c>
      <c r="BC66" t="str">
        <f t="array" ref="BC66">ev_THFaktor($C$80,AY66)</f>
        <v>Local funcId 1690017901696 not found</v>
      </c>
    </row>
    <row r="67" spans="2:55" x14ac:dyDescent="0.25">
      <c r="AB67" t="str">
        <v>Local funcId 1690017899200 not found</v>
      </c>
      <c r="AC67" t="e">
        <f t="array" ref="AC67">(1-AA67/AB67)^2</f>
        <v>#VALUE!</v>
      </c>
      <c r="AE67" t="str">
        <f t="shared" si="9"/>
        <v>Local funcId 1690017901696 not found</v>
      </c>
      <c r="AW67">
        <v>1651.53</v>
      </c>
      <c r="AX67">
        <f t="shared" si="6"/>
        <v>63084</v>
      </c>
      <c r="AY67">
        <v>9.0513868359272762E-2</v>
      </c>
      <c r="AZ67" t="str">
        <v>Local funcId 1690017899200 not found</v>
      </c>
      <c r="BA67" t="e">
        <f t="array" ref="BA67">(1-AY67/AZ67)^2</f>
        <v>#VALUE!</v>
      </c>
      <c r="BC67" t="str">
        <f t="array" ref="BC67">ev_THFaktor($C$80,AY67)</f>
        <v>Local funcId 1690017901696 not found</v>
      </c>
    </row>
    <row r="68" spans="2:55" x14ac:dyDescent="0.25">
      <c r="AB68" t="str">
        <v>Local funcId 1690017899200 not found</v>
      </c>
      <c r="AC68" t="e">
        <f t="array" ref="AC68">(1-AA68/AB68)^2</f>
        <v>#VALUE!</v>
      </c>
      <c r="AE68" t="str">
        <f t="shared" si="9"/>
        <v>Local funcId 1690017901696 not found</v>
      </c>
      <c r="AW68">
        <v>1668.22</v>
      </c>
      <c r="AX68">
        <f t="shared" si="6"/>
        <v>64085.399999999994</v>
      </c>
      <c r="AY68">
        <v>9.0703618060746852E-2</v>
      </c>
      <c r="AZ68" t="str">
        <v>Local funcId 1690017899200 not found</v>
      </c>
      <c r="BA68" t="e">
        <f t="array" ref="BA68">(1-AY68/AZ68)^2</f>
        <v>#VALUE!</v>
      </c>
      <c r="BC68" t="str">
        <f t="array" ref="BC68">ev_THFaktor($C$80,AY68)</f>
        <v>Local funcId 1690017901696 not found</v>
      </c>
    </row>
    <row r="69" spans="2:55" x14ac:dyDescent="0.25">
      <c r="B69" t="str">
        <f>Auflösungsmessungen!T9</f>
        <v>Components</v>
      </c>
      <c r="C69">
        <f>Auflösungsmessungen!U9</f>
        <v>0</v>
      </c>
      <c r="D69">
        <f>Auflösungsmessungen!W9</f>
        <v>0</v>
      </c>
      <c r="AB69" t="str">
        <v>Local funcId 1690017899200 not found</v>
      </c>
      <c r="AC69" t="e">
        <f t="array" ref="AC69">(1-AA69/AB69)^2</f>
        <v>#VALUE!</v>
      </c>
      <c r="AE69" t="str">
        <f t="shared" si="9"/>
        <v>Local funcId 1690017901696 not found</v>
      </c>
      <c r="AW69">
        <v>1684.9</v>
      </c>
      <c r="AX69">
        <f t="shared" ref="AX69:AX75" si="16">AW69*60-60*$AW$4</f>
        <v>65086.2</v>
      </c>
      <c r="AY69">
        <v>9.0888021044580394E-2</v>
      </c>
      <c r="AZ69" t="str">
        <v>Local funcId 1690017899200 not found</v>
      </c>
      <c r="BA69" t="e">
        <f t="array" ref="BA69">(1-AY69/AZ69)^2</f>
        <v>#VALUE!</v>
      </c>
      <c r="BC69" t="str">
        <f t="array" ref="BC69">ev_THFaktor($C$80,AY69)</f>
        <v>Local funcId 1690017901696 not found</v>
      </c>
    </row>
    <row r="70" spans="2:55" x14ac:dyDescent="0.25">
      <c r="B70" t="str">
        <f>Auflösungsmessungen!T10</f>
        <v>water</v>
      </c>
      <c r="C70" t="str">
        <f>Auflösungsmessungen!U10</f>
        <v>pvpva64</v>
      </c>
      <c r="D70" t="str">
        <f>Auflösungsmessungen!W10</f>
        <v>indomethacin</v>
      </c>
      <c r="AB70" t="str">
        <v>Local funcId 1690017899200 not found</v>
      </c>
      <c r="AC70" t="e">
        <f t="array" ref="AC70">(1-AA70/AB70)^2</f>
        <v>#VALUE!</v>
      </c>
      <c r="AE70" t="str">
        <f t="shared" ref="AE70:AE75" si="17">ev_THFaktor($C$81,AA70)</f>
        <v>Local funcId 1690017901696 not found</v>
      </c>
      <c r="AW70">
        <v>1701.59</v>
      </c>
      <c r="AX70">
        <f t="shared" si="16"/>
        <v>66087.599999999991</v>
      </c>
      <c r="AY70">
        <v>9.1067083767813375E-2</v>
      </c>
      <c r="AZ70" t="str">
        <v>Local funcId 1690017899200 not found</v>
      </c>
      <c r="BA70" t="e">
        <f t="array" ref="BA70">(1-AY70/AZ70)^2</f>
        <v>#VALUE!</v>
      </c>
      <c r="BC70" t="str">
        <f t="array" ref="BC70">ev_THFaktor($C$80,AY70)</f>
        <v>Local funcId 1690017901696 not found</v>
      </c>
    </row>
    <row r="71" spans="2:55" x14ac:dyDescent="0.25">
      <c r="B71" t="str">
        <f>Auflösungsmessungen!T11</f>
        <v>Mixtures</v>
      </c>
      <c r="C71">
        <f>Auflösungsmessungen!U11</f>
        <v>0</v>
      </c>
      <c r="D71">
        <f>Auflösungsmessungen!W11</f>
        <v>0</v>
      </c>
      <c r="AB71" t="str">
        <v>Local funcId 1690017899200 not found</v>
      </c>
      <c r="AC71" t="e">
        <f t="array" ref="AC71">(1-AA71/AB71)^2</f>
        <v>#VALUE!</v>
      </c>
      <c r="AE71" t="str">
        <f t="shared" si="17"/>
        <v>Local funcId 1690017901696 not found</v>
      </c>
      <c r="AW71">
        <v>1718.28</v>
      </c>
      <c r="AX71">
        <f t="shared" si="16"/>
        <v>67089</v>
      </c>
      <c r="AY71">
        <v>9.1235548965548863E-2</v>
      </c>
      <c r="AZ71" t="str">
        <v>Local funcId 1690017899200 not found</v>
      </c>
      <c r="BA71" t="e">
        <f t="array" ref="BA71">(1-AY71/AZ71)^2</f>
        <v>#VALUE!</v>
      </c>
      <c r="BC71" t="str">
        <f t="array" ref="BC71">ev_THFaktor($C$80,AY71)</f>
        <v>Local funcId 1690017901696 not found</v>
      </c>
    </row>
    <row r="72" spans="2:55" x14ac:dyDescent="0.25">
      <c r="B72" t="str">
        <f>Auflösungsmessungen!T12</f>
        <v>Local funcId 1690017902464 not found</v>
      </c>
      <c r="C72">
        <f>Auflösungsmessungen!U12</f>
        <v>0</v>
      </c>
      <c r="D72">
        <f>Auflösungsmessungen!W12</f>
        <v>0</v>
      </c>
      <c r="AB72" t="str">
        <v>Local funcId 1690017899200 not found</v>
      </c>
      <c r="AC72" t="e">
        <f t="array" ref="AC72">(1-AA72/AB72)^2</f>
        <v>#VALUE!</v>
      </c>
      <c r="AE72" t="str">
        <f t="shared" si="17"/>
        <v>Local funcId 1690017901696 not found</v>
      </c>
      <c r="AW72">
        <v>1734.97</v>
      </c>
      <c r="AX72">
        <f t="shared" si="16"/>
        <v>68090.399999999994</v>
      </c>
      <c r="AY72">
        <v>9.1398690085300646E-2</v>
      </c>
      <c r="AZ72" t="str">
        <v>Local funcId 1690017899200 not found</v>
      </c>
      <c r="BA72" t="e">
        <f t="array" ref="BA72">(1-AY72/AZ72)^2</f>
        <v>#VALUE!</v>
      </c>
      <c r="BC72" t="str">
        <f t="array" ref="BC72">ev_THFaktor($C$80,AY72)</f>
        <v>Local funcId 1690017901696 not found</v>
      </c>
    </row>
    <row r="73" spans="2:55" x14ac:dyDescent="0.25">
      <c r="B73">
        <f>Auflösungsmessungen!T13</f>
        <v>0</v>
      </c>
      <c r="C73">
        <f>Auflösungsmessungen!U13</f>
        <v>0</v>
      </c>
      <c r="D73">
        <f>Auflösungsmessungen!W13</f>
        <v>0</v>
      </c>
      <c r="AB73" t="str">
        <v>Local funcId 1690017899200 not found</v>
      </c>
      <c r="AC73" t="e">
        <f t="array" ref="AC73">(1-AA73/AB73)^2</f>
        <v>#VALUE!</v>
      </c>
      <c r="AE73" t="str">
        <f t="shared" si="17"/>
        <v>Local funcId 1690017901696 not found</v>
      </c>
      <c r="AW73">
        <v>1751.66</v>
      </c>
      <c r="AX73">
        <f t="shared" si="16"/>
        <v>69091.8</v>
      </c>
      <c r="AY73">
        <v>9.1561772641476302E-2</v>
      </c>
      <c r="AZ73" t="str">
        <v>Local funcId 1690017899200 not found</v>
      </c>
      <c r="BA73" t="e">
        <f t="array" ref="BA73">(1-AY73/AZ73)^2</f>
        <v>#VALUE!</v>
      </c>
      <c r="BC73" t="str">
        <f t="array" ref="BC73">ev_THFaktor($C$80,AY73)</f>
        <v>Local funcId 1690017901696 not found</v>
      </c>
    </row>
    <row r="74" spans="2:55" x14ac:dyDescent="0.25">
      <c r="B74" t="e">
        <f>Auflösungsmessungen!#REF!</f>
        <v>#REF!</v>
      </c>
      <c r="C74" t="e">
        <f>Auflösungsmessungen!#REF!</f>
        <v>#REF!</v>
      </c>
      <c r="D74">
        <f>Auflösungsmessungen!W14</f>
        <v>0</v>
      </c>
      <c r="AB74" t="str">
        <v>Local funcId 1690017899200 not found</v>
      </c>
      <c r="AC74" t="e">
        <f t="array" ref="AC74">(1-AA74/AB74)^2</f>
        <v>#VALUE!</v>
      </c>
      <c r="AE74" t="str">
        <f t="shared" si="17"/>
        <v>Local funcId 1690017901696 not found</v>
      </c>
      <c r="AW74">
        <v>1768.35</v>
      </c>
      <c r="AX74">
        <f t="shared" si="16"/>
        <v>70093.2</v>
      </c>
      <c r="AY74">
        <v>9.1719538739405942E-2</v>
      </c>
      <c r="AZ74" t="str">
        <v>Local funcId 1690017899200 not found</v>
      </c>
      <c r="BA74" t="e">
        <f t="array" ref="BA74">(1-AY74/AZ74)^2</f>
        <v>#VALUE!</v>
      </c>
      <c r="BC74" t="str">
        <f t="array" ref="BC74">ev_THFaktor($C$80,AY74)</f>
        <v>Local funcId 1690017901696 not found</v>
      </c>
    </row>
    <row r="75" spans="2:55" x14ac:dyDescent="0.25">
      <c r="B75" t="e">
        <f>Auflösungsmessungen!#REF!</f>
        <v>#REF!</v>
      </c>
      <c r="C75" t="e">
        <f>Auflösungsmessungen!#REF!</f>
        <v>#REF!</v>
      </c>
      <c r="D75">
        <f>Auflösungsmessungen!W15</f>
        <v>0</v>
      </c>
      <c r="AB75" t="str">
        <v>Local funcId 1690017899200 not found</v>
      </c>
      <c r="AC75" t="e">
        <f t="array" ref="AC75">(1-AA75/AB75)^2</f>
        <v>#VALUE!</v>
      </c>
      <c r="AE75" t="str">
        <f t="shared" si="17"/>
        <v>Local funcId 1690017901696 not found</v>
      </c>
      <c r="AW75">
        <v>1785.04</v>
      </c>
      <c r="AX75">
        <f t="shared" si="16"/>
        <v>71094.599999999991</v>
      </c>
      <c r="AY75">
        <v>9.1877250049196876E-2</v>
      </c>
      <c r="AZ75" t="str">
        <v>Local funcId 1690017899200 not found</v>
      </c>
      <c r="BA75" t="e">
        <f t="array" ref="BA75">(1-AY75/AZ75)^2</f>
        <v>#VALUE!</v>
      </c>
      <c r="BC75" t="str">
        <f t="array" ref="BC75">ev_THFaktor($C$80,AY75)</f>
        <v>Local funcId 1690017901696 not found</v>
      </c>
    </row>
    <row r="76" spans="2:55" x14ac:dyDescent="0.25">
      <c r="B76" t="e">
        <f>Auflösungsmessungen!#REF!</f>
        <v>#REF!</v>
      </c>
      <c r="C76" t="e">
        <f>Auflösungsmessungen!#REF!</f>
        <v>#REF!</v>
      </c>
      <c r="D76">
        <f>Auflösungsmessungen!W16</f>
        <v>0</v>
      </c>
      <c r="BC76" t="str">
        <f t="array" ref="BC76">ev_THFaktor($C$80,AY76)</f>
        <v>Local funcId 1690017901696 not found</v>
      </c>
    </row>
    <row r="77" spans="2:55" x14ac:dyDescent="0.25">
      <c r="B77" t="e">
        <f>Auflösungsmessungen!#REF!</f>
        <v>#REF!</v>
      </c>
      <c r="C77" t="e">
        <f>Auflösungsmessungen!#REF!</f>
        <v>#REF!</v>
      </c>
      <c r="D77">
        <f>Auflösungsmessungen!W17</f>
        <v>0</v>
      </c>
      <c r="BC77" t="str">
        <f t="array" ref="BC77">ev_THFaktor($C$80,AY77)</f>
        <v>Local funcId 1690017901696 not found</v>
      </c>
    </row>
    <row r="78" spans="2:55" x14ac:dyDescent="0.25">
      <c r="B78" t="str">
        <f>Auflösungsmessungen!T14</f>
        <v>DL</v>
      </c>
      <c r="C78" t="str">
        <f>Auflösungsmessungen!U14</f>
        <v>Lnphis</v>
      </c>
      <c r="D78" t="e">
        <f>Auflösungsmessungen!#REF!</f>
        <v>#REF!</v>
      </c>
      <c r="BC78" t="str">
        <f t="array" ref="BC78">ev_THFaktor($C$80,AY78)</f>
        <v>Local funcId 1690017901696 not found</v>
      </c>
    </row>
    <row r="79" spans="2:55" x14ac:dyDescent="0.25">
      <c r="B79">
        <f>Auflösungsmessungen!T15</f>
        <v>0.3</v>
      </c>
      <c r="C79" t="str">
        <f>Auflösungsmessungen!U15</f>
        <v>Local funcId 1690017896704 not found</v>
      </c>
      <c r="D79" t="e">
        <f>Auflösungsmessungen!#REF!</f>
        <v>#REF!</v>
      </c>
    </row>
    <row r="80" spans="2:55" x14ac:dyDescent="0.25">
      <c r="B80">
        <f>Auflösungsmessungen!T16</f>
        <v>0.5</v>
      </c>
      <c r="C80" t="str">
        <f>Auflösungsmessungen!U16</f>
        <v>Local funcId 1690017896704 not found</v>
      </c>
      <c r="D80" t="e">
        <f>Auflösungsmessungen!#REF!</f>
        <v>#REF!</v>
      </c>
    </row>
    <row r="81" spans="2:4" x14ac:dyDescent="0.25">
      <c r="B81">
        <f>Auflösungsmessungen!T17</f>
        <v>0.7</v>
      </c>
      <c r="C81" t="str">
        <f>Auflösungsmessungen!U17</f>
        <v>Local funcId 1690017896704 not found</v>
      </c>
      <c r="D81" t="e">
        <f>Auflösungsmessungen!#REF!</f>
        <v>#REF!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I35"/>
  <sheetViews>
    <sheetView topLeftCell="A10" workbookViewId="0">
      <selection activeCell="A32" sqref="A32"/>
    </sheetView>
  </sheetViews>
  <sheetFormatPr baseColWidth="10" defaultColWidth="11.42578125" defaultRowHeight="15" x14ac:dyDescent="0.25"/>
  <cols>
    <col min="1" max="1" width="14.140625" customWidth="1"/>
  </cols>
  <sheetData>
    <row r="1" spans="1:9" x14ac:dyDescent="0.25">
      <c r="A1" t="s">
        <v>108</v>
      </c>
      <c r="D1" t="s">
        <v>109</v>
      </c>
      <c r="H1" t="s">
        <v>110</v>
      </c>
    </row>
    <row r="2" spans="1:9" x14ac:dyDescent="0.25">
      <c r="A2" t="s">
        <v>107</v>
      </c>
      <c r="B2" t="s">
        <v>106</v>
      </c>
      <c r="D2" t="s">
        <v>107</v>
      </c>
      <c r="E2" t="s">
        <v>106</v>
      </c>
      <c r="H2" t="s">
        <v>107</v>
      </c>
      <c r="I2" t="s">
        <v>106</v>
      </c>
    </row>
    <row r="3" spans="1:9" x14ac:dyDescent="0.25">
      <c r="A3">
        <v>2.1448532092273421E-4</v>
      </c>
      <c r="B3">
        <v>0.01</v>
      </c>
      <c r="D3">
        <v>1.9853544910134041E-4</v>
      </c>
      <c r="E3">
        <v>0.01</v>
      </c>
      <c r="H3">
        <v>1.7936893736181469E-4</v>
      </c>
      <c r="I3">
        <v>0.01</v>
      </c>
    </row>
    <row r="4" spans="1:9" x14ac:dyDescent="0.25">
      <c r="A4">
        <v>1.006520396241763E-3</v>
      </c>
      <c r="B4">
        <v>4.4137931034482762E-2</v>
      </c>
      <c r="D4">
        <v>9.0928629353051818E-4</v>
      </c>
      <c r="E4">
        <v>4.4137931034482762E-2</v>
      </c>
      <c r="H4">
        <v>8.1053573836128859E-4</v>
      </c>
      <c r="I4">
        <v>4.4137931034482762E-2</v>
      </c>
    </row>
    <row r="5" spans="1:9" x14ac:dyDescent="0.25">
      <c r="A5">
        <v>1.904221201404893E-3</v>
      </c>
      <c r="B5">
        <v>7.8275862068965515E-2</v>
      </c>
      <c r="D5">
        <v>1.6764592469857521E-3</v>
      </c>
      <c r="E5">
        <v>7.8275862068965515E-2</v>
      </c>
      <c r="H5">
        <v>1.473133225511571E-3</v>
      </c>
      <c r="I5">
        <v>7.8275862068965515E-2</v>
      </c>
    </row>
    <row r="6" spans="1:9" x14ac:dyDescent="0.25">
      <c r="A6">
        <v>2.9282644373593131E-3</v>
      </c>
      <c r="B6">
        <v>0.1124137931034483</v>
      </c>
      <c r="D6">
        <v>2.508185630958126E-3</v>
      </c>
      <c r="E6">
        <v>0.1124137931034483</v>
      </c>
      <c r="H6">
        <v>2.170489768575712E-3</v>
      </c>
      <c r="I6">
        <v>0.1124137931034483</v>
      </c>
    </row>
    <row r="7" spans="1:9" x14ac:dyDescent="0.25">
      <c r="A7">
        <v>4.1044384255152439E-3</v>
      </c>
      <c r="B7">
        <v>0.14655172413793099</v>
      </c>
      <c r="D7">
        <v>3.4140830704461772E-3</v>
      </c>
      <c r="E7">
        <v>0.14655172413793099</v>
      </c>
      <c r="H7">
        <v>2.9063694491807531E-3</v>
      </c>
      <c r="I7">
        <v>0.14655172413793099</v>
      </c>
    </row>
    <row r="8" spans="1:9" x14ac:dyDescent="0.25">
      <c r="A8">
        <v>5.4647842633288903E-3</v>
      </c>
      <c r="B8">
        <v>0.18068965517241381</v>
      </c>
      <c r="D8">
        <v>4.405480803110466E-3</v>
      </c>
      <c r="E8">
        <v>0.18068965517241381</v>
      </c>
      <c r="H8">
        <v>3.6850125911313631E-3</v>
      </c>
      <c r="I8">
        <v>0.18068965517241381</v>
      </c>
    </row>
    <row r="9" spans="1:9" x14ac:dyDescent="0.25">
      <c r="A9">
        <v>7.0488663118875184E-3</v>
      </c>
      <c r="B9">
        <v>0.2148275862068966</v>
      </c>
      <c r="D9">
        <v>5.4956727974775684E-3</v>
      </c>
      <c r="E9">
        <v>0.2148275862068966</v>
      </c>
      <c r="H9">
        <v>4.511178239681642E-3</v>
      </c>
      <c r="I9">
        <v>0.2148275862068966</v>
      </c>
    </row>
    <row r="10" spans="1:9" x14ac:dyDescent="0.25">
      <c r="A10">
        <v>8.905072734751291E-3</v>
      </c>
      <c r="B10">
        <v>0.2489655172413793</v>
      </c>
      <c r="D10">
        <v>6.7002168631233473E-3</v>
      </c>
      <c r="E10">
        <v>0.2489655172413793</v>
      </c>
      <c r="H10">
        <v>5.3902046271432479E-3</v>
      </c>
      <c r="I10">
        <v>0.2489655172413793</v>
      </c>
    </row>
    <row r="11" spans="1:9" x14ac:dyDescent="0.25">
      <c r="A11">
        <v>1.1091533754017179E-2</v>
      </c>
      <c r="B11">
        <v>0.28310344827586209</v>
      </c>
      <c r="D11">
        <v>8.0371992977825383E-3</v>
      </c>
      <c r="E11">
        <v>0.28310344827586209</v>
      </c>
      <c r="H11">
        <v>6.3280334726056858E-3</v>
      </c>
      <c r="I11">
        <v>0.28310344827586209</v>
      </c>
    </row>
    <row r="12" spans="1:9" x14ac:dyDescent="0.25">
      <c r="A12">
        <v>1.3676241928180691E-2</v>
      </c>
      <c r="B12">
        <v>0.31724137931034491</v>
      </c>
      <c r="D12">
        <v>9.5275694841218724E-3</v>
      </c>
      <c r="E12">
        <v>0.31724137931034491</v>
      </c>
      <c r="H12">
        <v>7.331290240448261E-3</v>
      </c>
      <c r="I12">
        <v>0.31724137931034491</v>
      </c>
    </row>
    <row r="13" spans="1:9" x14ac:dyDescent="0.25">
      <c r="A13">
        <v>1.6735182762937971E-2</v>
      </c>
      <c r="B13">
        <v>0.35137931034482761</v>
      </c>
      <c r="D13">
        <v>1.119538299653648E-2</v>
      </c>
      <c r="E13">
        <v>0.35137931034482761</v>
      </c>
      <c r="H13">
        <v>8.4073228715467914E-3</v>
      </c>
      <c r="I13">
        <v>0.35137931034482761</v>
      </c>
    </row>
    <row r="14" spans="1:9" x14ac:dyDescent="0.25">
      <c r="A14">
        <v>2.0347212182168159E-2</v>
      </c>
      <c r="B14">
        <v>0.38551724137931043</v>
      </c>
      <c r="D14">
        <v>1.306797260977155E-2</v>
      </c>
      <c r="E14">
        <v>0.38551724137931043</v>
      </c>
      <c r="H14">
        <v>9.5642544749494005E-3</v>
      </c>
      <c r="I14">
        <v>0.38551724137931043</v>
      </c>
    </row>
    <row r="15" spans="1:9" x14ac:dyDescent="0.25">
      <c r="A15">
        <v>2.4584401835548719E-2</v>
      </c>
      <c r="B15">
        <v>0.41965517241379308</v>
      </c>
      <c r="D15">
        <v>1.5175933393241751E-2</v>
      </c>
      <c r="E15">
        <v>0.41965517241379308</v>
      </c>
      <c r="H15">
        <v>1.081102603084462E-2</v>
      </c>
      <c r="I15">
        <v>0.41965517241379308</v>
      </c>
    </row>
    <row r="16" spans="1:9" x14ac:dyDescent="0.25">
      <c r="A16">
        <v>2.9498135480751989E-2</v>
      </c>
      <c r="B16">
        <v>0.45379310344827589</v>
      </c>
      <c r="D16">
        <v>1.755283328162802E-2</v>
      </c>
      <c r="E16">
        <v>0.45379310344827589</v>
      </c>
      <c r="H16">
        <v>1.215744493075752E-2</v>
      </c>
      <c r="I16">
        <v>0.45379310344827589</v>
      </c>
    </row>
    <row r="17" spans="1:9" x14ac:dyDescent="0.25">
      <c r="A17">
        <v>3.5104162968438192E-2</v>
      </c>
      <c r="B17">
        <v>0.48793103448275871</v>
      </c>
      <c r="D17">
        <v>2.0234370821347391E-2</v>
      </c>
      <c r="E17">
        <v>0.48793103448275871</v>
      </c>
      <c r="H17">
        <v>1.361415520215559E-2</v>
      </c>
      <c r="I17">
        <v>0.48793103448275871</v>
      </c>
    </row>
    <row r="18" spans="1:9" x14ac:dyDescent="0.25">
      <c r="A18">
        <v>4.1373906009985702E-2</v>
      </c>
      <c r="B18">
        <v>0.52206896551724147</v>
      </c>
      <c r="D18">
        <v>2.325705842991873E-2</v>
      </c>
      <c r="E18">
        <v>0.52206896551724147</v>
      </c>
      <c r="H18">
        <v>1.5192670745023279E-2</v>
      </c>
      <c r="I18">
        <v>0.52206896551724147</v>
      </c>
    </row>
    <row r="19" spans="1:9" x14ac:dyDescent="0.25">
      <c r="A19">
        <v>4.8237875056696237E-2</v>
      </c>
      <c r="B19">
        <v>0.55620689655172417</v>
      </c>
      <c r="D19">
        <v>2.6656047416440939E-2</v>
      </c>
      <c r="E19">
        <v>0.55620689655172417</v>
      </c>
      <c r="H19">
        <v>1.690529508707083E-2</v>
      </c>
      <c r="I19">
        <v>0.55620689655172417</v>
      </c>
    </row>
    <row r="20" spans="1:9" x14ac:dyDescent="0.25">
      <c r="A20">
        <v>5.5601495383120488E-2</v>
      </c>
      <c r="B20">
        <v>0.59034482758620688</v>
      </c>
      <c r="D20">
        <v>3.0462280204225301E-2</v>
      </c>
      <c r="E20">
        <v>0.59034482758620688</v>
      </c>
      <c r="H20">
        <v>1.8765020430983201E-2</v>
      </c>
      <c r="I20">
        <v>0.59034482758620688</v>
      </c>
    </row>
    <row r="21" spans="1:9" x14ac:dyDescent="0.25">
      <c r="A21">
        <v>6.3365704251363189E-2</v>
      </c>
      <c r="B21">
        <v>0.62448275862068969</v>
      </c>
      <c r="D21">
        <v>3.4699172377351158E-2</v>
      </c>
      <c r="E21">
        <v>0.62448275862068969</v>
      </c>
      <c r="H21">
        <v>2.078535539483635E-2</v>
      </c>
      <c r="I21">
        <v>0.62448275862068969</v>
      </c>
    </row>
    <row r="22" spans="1:9" x14ac:dyDescent="0.25">
      <c r="A22">
        <v>7.1443369788668137E-2</v>
      </c>
      <c r="B22">
        <v>0.65862068965517251</v>
      </c>
      <c r="D22">
        <v>3.9379404983757603E-2</v>
      </c>
      <c r="E22">
        <v>0.65862068965517251</v>
      </c>
      <c r="H22">
        <v>2.298007397873247E-2</v>
      </c>
      <c r="I22">
        <v>0.65862068965517251</v>
      </c>
    </row>
    <row r="23" spans="1:9" x14ac:dyDescent="0.25">
      <c r="A23">
        <v>7.9767334814841467E-2</v>
      </c>
      <c r="B23">
        <v>0.69275862068965521</v>
      </c>
      <c r="D23">
        <v>4.450263545014873E-2</v>
      </c>
      <c r="E23">
        <v>0.69275862068965521</v>
      </c>
      <c r="H23">
        <v>2.53628763683937E-2</v>
      </c>
      <c r="I23">
        <v>0.69275862068965521</v>
      </c>
    </row>
    <row r="24" spans="1:9" x14ac:dyDescent="0.25">
      <c r="A24">
        <v>8.8291261935685428E-2</v>
      </c>
      <c r="B24">
        <v>0.72689655172413792</v>
      </c>
      <c r="D24">
        <v>5.0054907821799541E-2</v>
      </c>
      <c r="E24">
        <v>0.72689655172413792</v>
      </c>
      <c r="H24">
        <v>2.794695942776149E-2</v>
      </c>
      <c r="I24">
        <v>0.72689655172413792</v>
      </c>
    </row>
    <row r="25" spans="1:9" x14ac:dyDescent="0.25">
      <c r="A25">
        <v>9.6986509257859496E-2</v>
      </c>
      <c r="B25">
        <v>0.76103448275862073</v>
      </c>
      <c r="D25">
        <v>5.6010133165083638E-2</v>
      </c>
      <c r="E25">
        <v>0.76103448275862073</v>
      </c>
      <c r="H25">
        <v>3.074450633046857E-2</v>
      </c>
      <c r="I25">
        <v>0.76103448275862073</v>
      </c>
    </row>
    <row r="26" spans="1:9" x14ac:dyDescent="0.25">
      <c r="A26">
        <v>0.1058378182981502</v>
      </c>
      <c r="B26">
        <v>0.79517241379310355</v>
      </c>
      <c r="D26">
        <v>6.233336357714802E-2</v>
      </c>
      <c r="E26">
        <v>0.79517241379310355</v>
      </c>
      <c r="H26">
        <v>3.3766120417507713E-2</v>
      </c>
      <c r="I26">
        <v>0.79517241379310355</v>
      </c>
    </row>
    <row r="27" spans="1:9" x14ac:dyDescent="0.25">
      <c r="A27">
        <v>0.11483931229658</v>
      </c>
      <c r="B27">
        <v>0.82931034482758625</v>
      </c>
      <c r="D27">
        <v>6.8985009311927956E-2</v>
      </c>
      <c r="E27">
        <v>0.82931034482758625</v>
      </c>
      <c r="H27">
        <v>3.7020246144812897E-2</v>
      </c>
      <c r="I27">
        <v>0.82931034482758625</v>
      </c>
    </row>
    <row r="28" spans="1:9" x14ac:dyDescent="0.25">
      <c r="A28">
        <v>0.1239913387283841</v>
      </c>
      <c r="B28">
        <v>0.86344827586206896</v>
      </c>
      <c r="D28">
        <v>7.5924968454215397E-2</v>
      </c>
      <c r="E28">
        <v>0.86344827586206896</v>
      </c>
      <c r="H28">
        <v>4.0512636086553318E-2</v>
      </c>
      <c r="I28">
        <v>0.86344827586206896</v>
      </c>
    </row>
    <row r="29" spans="1:9" x14ac:dyDescent="0.25">
      <c r="A29">
        <v>0.1332982591401585</v>
      </c>
      <c r="B29">
        <v>0.89758620689655177</v>
      </c>
      <c r="D29">
        <v>8.3115956274494113E-2</v>
      </c>
      <c r="E29">
        <v>0.89758620689655177</v>
      </c>
      <c r="H29">
        <v>4.4245991281464087E-2</v>
      </c>
      <c r="I29">
        <v>0.89758620689655177</v>
      </c>
    </row>
    <row r="30" spans="1:9" x14ac:dyDescent="0.25">
      <c r="A30">
        <v>0.14276665997656579</v>
      </c>
      <c r="B30">
        <v>0.93172413793103459</v>
      </c>
      <c r="D30">
        <v>9.0525281459150675E-2</v>
      </c>
      <c r="E30">
        <v>0.93172413793103459</v>
      </c>
      <c r="H30">
        <v>4.8219529420041728E-2</v>
      </c>
      <c r="I30">
        <v>0.93172413793103459</v>
      </c>
    </row>
    <row r="31" spans="1:9" x14ac:dyDescent="0.25">
      <c r="A31">
        <v>0.15240461320677581</v>
      </c>
      <c r="B31">
        <v>0.9658620689655173</v>
      </c>
      <c r="D31">
        <v>9.8126069067963895E-2</v>
      </c>
      <c r="E31">
        <v>0.9658620689655173</v>
      </c>
      <c r="H31">
        <v>5.2429218849213907E-2</v>
      </c>
      <c r="I31">
        <v>0.9658620689655173</v>
      </c>
    </row>
    <row r="32" spans="1:9" x14ac:dyDescent="0.25">
      <c r="A32">
        <v>0.1622208420657649</v>
      </c>
      <c r="B32">
        <v>1</v>
      </c>
      <c r="D32">
        <v>0.1058970843667198</v>
      </c>
      <c r="E32">
        <v>1</v>
      </c>
      <c r="H32">
        <v>5.686786300825708E-2</v>
      </c>
      <c r="I32">
        <v>1</v>
      </c>
    </row>
    <row r="34" spans="1:9" x14ac:dyDescent="0.25">
      <c r="A34" t="str">
        <f t="array" ref="A34:A35">interp1d(B34:B35,B3:B32,A3:A32)</f>
        <v>Local funcId 1690017899488 not found</v>
      </c>
      <c r="B34">
        <v>0.95</v>
      </c>
      <c r="D34" t="str">
        <f t="array" ref="D34:D35">interp1d(E34:E35,E3:E32,D3:D32)</f>
        <v>Local funcId 1690017899488 not found</v>
      </c>
      <c r="E34">
        <v>0.95</v>
      </c>
      <c r="H34" t="str">
        <f t="array" ref="H34:H35">interp1d(I34:I35,I3:I32,H3:H32)</f>
        <v>Local funcId 1690017899488 not found</v>
      </c>
      <c r="I34">
        <v>0.95</v>
      </c>
    </row>
    <row r="35" spans="1:9" x14ac:dyDescent="0.25">
      <c r="A35" t="str">
        <v>Local funcId 1690017899488 not found</v>
      </c>
      <c r="B35">
        <v>1</v>
      </c>
      <c r="D35" t="str">
        <v>Local funcId 1690017899488 not found</v>
      </c>
      <c r="E35">
        <v>1</v>
      </c>
      <c r="H35" t="str">
        <v>Local funcId 1690017899488 not found</v>
      </c>
      <c r="I35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Auflösungsmessungen</vt:lpstr>
      <vt:lpstr>Löslichkeiten</vt:lpstr>
      <vt:lpstr>Sorptionsmessungen</vt:lpstr>
      <vt:lpstr>Isothermen</vt:lpstr>
    </vt:vector>
  </TitlesOfParts>
  <Company>TU Dortmund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BCI, TH, Mess</dc:creator>
  <cp:lastModifiedBy>Dominik Borrmann</cp:lastModifiedBy>
  <dcterms:created xsi:type="dcterms:W3CDTF">2022-10-10T11:56:44Z</dcterms:created>
  <dcterms:modified xsi:type="dcterms:W3CDTF">2023-06-26T10:00:26Z</dcterms:modified>
</cp:coreProperties>
</file>