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="http://schemas.openxmlformats.org/spreadsheetml/2006/main" xmlns:r="http://schemas.openxmlformats.org/officeDocument/2006/relationships">
  <fileVersion rupBuild="9303" lowestEdited="5" lastEdited="5" appName="xl"/>
  <workbookPr/>
  <bookViews>
    <workbookView xWindow="480" yWindow="60" windowWidth="18195" windowHeight="8505" activeTab="0"/>
  </bookViews>
  <sheets>
    <sheet r:id="rId1" sheetId="1" name="Tabelle1"/>
  </sheets>
  <definedNames>
    <definedName name="solver_adj" localSheetId="0">Tabelle1!$K$8</definedName>
    <definedName name="solver_cvg" localSheetId="0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0">1</definedName>
    <definedName name="solver_eng" localSheetId="0">1</definedName>
    <definedName name="solver_est" localSheetId="0">1</definedName>
    <definedName name="solver_itr" localSheetId="0">2147483647</definedName>
    <definedName name="solver_mip" localSheetId="0">2147483647</definedName>
    <definedName name="solver_mni" localSheetId="0">30</definedName>
    <definedName name="solver_mrt" localSheetId="0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0">2</definedName>
    <definedName name="solver_neg" localSheetId="0">1</definedName>
    <definedName name="solver_nod" localSheetId="0">2147483647</definedName>
    <definedName name="solver_num" localSheetId="0">0</definedName>
    <definedName name="solver_nwt" localSheetId="0">1</definedName>
    <definedName name="solver_opt" localSheetId="0">Tabelle1!$H$6</definedName>
    <definedName name="solver_pre" localSheetId="0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0">1</definedName>
    <definedName name="solver_rlx" localSheetId="0">2</definedName>
    <definedName name="solver_rsd" localSheetId="0">0</definedName>
    <definedName name="solver_scl" localSheetId="0">1</definedName>
    <definedName name="solver_sho" localSheetId="0">2</definedName>
    <definedName name="solver_ssz" localSheetId="0">100</definedName>
    <definedName name="solver_tim" localSheetId="0">2147483647</definedName>
    <definedName name="solver_tol" localSheetId="0">1</definedName>
    <definedName name="solver_typ" localSheetId="0">2</definedName>
    <definedName name="solver_val" localSheetId="0">0</definedName>
    <definedName name="solver_ver" localSheetId="0">3</definedName>
  </definedNames>
  <calcPr fullCalcOnLoad="1"/>
</workbook>
</file>

<file path=xl/sharedStrings.xml><?xml version="1.0" encoding="utf-8"?>
<sst xmlns="http://schemas.openxmlformats.org/spreadsheetml/2006/main" count="27" uniqueCount="26">
  <si>
    <t>t/h</t>
  </si>
  <si>
    <t>t/s</t>
  </si>
  <si>
    <t>w1t/- /Multicomp Maxwell</t>
  </si>
  <si>
    <t>w2t/-</t>
  </si>
  <si>
    <t>w3t/-</t>
  </si>
  <si>
    <t>ws/- aus Diss</t>
  </si>
  <si>
    <t>Delta</t>
  </si>
  <si>
    <t>Name</t>
  </si>
  <si>
    <t>L/m</t>
  </si>
  <si>
    <t>Dvec/m^2/s</t>
  </si>
  <si>
    <t>w0/-</t>
  </si>
  <si>
    <t>w8/-</t>
  </si>
  <si>
    <t>Dl/-</t>
  </si>
  <si>
    <t>Mi/-</t>
  </si>
  <si>
    <t>volatile/-</t>
  </si>
  <si>
    <t>water</t>
  </si>
  <si>
    <t>waterethanol</t>
  </si>
  <si>
    <t>true</t>
  </si>
  <si>
    <t>ethanol</t>
  </si>
  <si>
    <t>waterpvp</t>
  </si>
  <si>
    <t>pvp</t>
  </si>
  <si>
    <t>ethanolpvp</t>
  </si>
  <si>
    <t>false</t>
  </si>
  <si>
    <t>SUMDELTA</t>
  </si>
  <si>
    <t>Ds/m^2/s aus Multicomp Maxwell</t>
  </si>
  <si>
    <t>Ds/m^2/s aus Diss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</si>
</sst>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 mc:Ignorable="x14ac">
  <numFmts count="1">
    <numFmt numFmtId="164" formatCode="#,##0.0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6">
    <xf xfId="0" numFmtId="0" borderId="0" fontId="0" fillId="0"/>
    <xf xfId="0" numFmtId="4" applyNumberFormat="1" borderId="0" fontId="0" fillId="0" applyAlignment="1">
      <alignment horizontal="right"/>
    </xf>
    <xf xfId="0" numFmtId="3" applyNumberFormat="1" borderId="0" fontId="0" fillId="0" applyAlignment="1">
      <alignment horizontal="right"/>
    </xf>
    <xf xfId="0" numFmtId="164" applyNumberFormat="1" borderId="0" fontId="0" fillId="0" applyAlignment="1">
      <alignment horizontal="general"/>
    </xf>
    <xf xfId="0" numFmtId="0" borderId="0" fontId="0" fillId="0" applyAlignment="1">
      <alignment horizontal="general"/>
    </xf>
    <xf xfId="0" numFmtId="4" applyNumberFormat="1" borderId="0" fontId="0" fillId="0" applyAlignment="1">
      <alignment horizontal="general"/>
    </xf>
    <xf xfId="0" numFmtId="3" applyNumberFormat="1" borderId="0" fontId="0" fillId="0" applyAlignment="1">
      <alignment horizontal="general"/>
    </xf>
    <xf xfId="0" numFmtId="3" applyNumberFormat="1" borderId="1" applyBorder="1" fontId="1" applyFont="1" fillId="0" applyAlignment="1">
      <alignment horizontal="right"/>
    </xf>
    <xf xfId="0" numFmtId="4" applyNumberFormat="1" borderId="1" applyBorder="1" fontId="1" applyFont="1" fillId="0" applyAlignment="1">
      <alignment horizontal="right"/>
    </xf>
    <xf xfId="0" numFmtId="164" applyNumberFormat="1" borderId="1" applyBorder="1" fontId="1" applyFont="1" fillId="0" applyAlignment="1">
      <alignment horizontal="right"/>
    </xf>
    <xf xfId="0" numFmtId="4" applyNumberFormat="1" borderId="0" fontId="0" fillId="0" applyAlignment="1">
      <alignment horizontal="right"/>
    </xf>
    <xf xfId="0" numFmtId="3" applyNumberFormat="1" borderId="0" fontId="0" fillId="0" applyAlignment="1">
      <alignment horizontal="right"/>
    </xf>
    <xf xfId="0" numFmtId="164" applyNumberFormat="1" borderId="0" fontId="0" fillId="0" applyAlignment="1">
      <alignment horizontal="general"/>
    </xf>
    <xf xfId="0" numFmtId="0" borderId="0" fontId="0" fillId="0" applyAlignment="1">
      <alignment horizontal="general"/>
    </xf>
    <xf xfId="0" numFmtId="4" applyNumberFormat="1" borderId="0" fontId="0" fillId="0" applyAlignment="1">
      <alignment horizontal="general"/>
    </xf>
    <xf xfId="0" numFmtId="3" applyNumberFormat="1" borderId="0" fontId="0" fillId="0" applyAlignment="1">
      <alignment horizontal="general"/>
    </xf>
  </cellXfs>
  <cellStyles count="1">
    <cellStyle xfId="0" builtinId="0" name="Normal"/>
  </cellStyles>
  <dxfs count="0"/>
  <tableStyles count="0" defaultTableStyle="TableStyleMedium9" defaultPivotStyle="PivotStyleLight16"/>
  <extLst>
    <ext uri="{EB79DEF2-80B8-43e5-95BD-54CBDDF9020C}">
      <x14ac:slicerStyles xmlns:x14="http://schemas.microsoft.com/office/spreadsheetml/2009/9/main" defaultSlicerStyle="SlicerStyleLight1"/>
    </ext>
  </extLst>
</styleSheet>
</file>

<file path=xl/_rels/workbook.xml.rels><?xml version="1.0" encoding="UTF-8" standalone="yes"?><Relationships xmlns="http://schemas.openxmlformats.org/package/2006/relationships"><Relationship Target="worksheets/sheet1.xml" Type="http://schemas.openxmlformats.org/officeDocument/2006/relationships/worksheet" Id="rId1"/><Relationship Target="sharedStrings.xml" Type="http://schemas.openxmlformats.org/officeDocument/2006/relationships/sharedStrings" Id="rId2"/><Relationship Target="styles.xml" Type="http://schemas.openxmlformats.org/officeDocument/2006/relationships/styles" Id="rId3"/><Relationship Target="theme/theme1.xml" Type="http://schemas.openxmlformats.org/officeDocument/2006/relationships/theme" Id="rId4"/><Relationship Target="vbaProject.bin" Type="http://schemas.microsoft.com/office/2006/relationships/vbaProject" Id="rId5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Times New Roman" script="Arab"/>
        <a:font typeface="Times New Roman" script="Hebr"/>
        <a:font typeface="Tahoma" script="Thai"/>
        <a:font typeface="Nyala" script="Ethi"/>
        <a:font typeface="Vrinda" script="Beng"/>
        <a:font typeface="Shruti" script="Gujr"/>
        <a:font typeface="MoolBoran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Times New Roman" script="Viet"/>
        <a:font typeface="Microsoft Uighur" script="Uigh"/>
        <a:font typeface="Sylfaen" script="Geor"/>
      </a:majorFont>
      <a:minorFont>
        <a:latin typeface="Calibri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Arial" script="Arab"/>
        <a:font typeface="Arial" script="Hebr"/>
        <a:font typeface="Tahoma" script="Thai"/>
        <a:font typeface="Nyala" script="Ethi"/>
        <a:font typeface="Vrinda" script="Beng"/>
        <a:font typeface="Shruti" script="Gujr"/>
        <a:font typeface="DaunPenh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Arial" script="Viet"/>
        <a:font typeface="Microsoft Uighur" script="Uigh"/>
        <a:font typeface="Sylfaen" script="Geo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scaled="1" ang="16200000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scaled="1" ang="16200000"/>
        </a:gradFill>
      </a:fillStyleLst>
      <a:lnStyleLst>
        <a:ln algn="ctr" cmpd="sng" cap="flat" w="9525">
          <a:solidFill>
            <a:schemeClr val="phClr">
              <a:shade val="9500"/>
              <a:satMod val="105000"/>
            </a:schemeClr>
          </a:solidFill>
          <a:prstDash val="solid"/>
        </a:ln>
        <a:ln algn="ctr" cmpd="sng" cap="flat" w="25400">
          <a:solidFill>
            <a:schemeClr val="phClr"/>
          </a:solidFill>
          <a:prstDash val="solid"/>
        </a:ln>
        <a:ln algn="ctr" cmpd="sng" cap="flat" w="38100">
          <a:solidFill>
            <a:schemeClr val="phClr"/>
          </a:solidFill>
          <a:prstDash val="solid"/>
        </a:ln>
      </a:lnStyleLst>
      <a:effectStyleLst>
        <a:effectStyle>
          <a:effectLst>
            <a:outerShdw dir="5400000" rotWithShape="0" dist="23000" blurRad="40000">
              <a:srgbClr val="000000">
                <a:alpha val="38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  <a:scene3d>
            <a:camera prst="orthographicFront">
              <a:rot rev="0" lon="0" lat="0"/>
            </a:camera>
            <a:lightRig dir="t" rig="threePt">
              <a:rot rev="1200000" lon="0" lat="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Q65"/>
  <sheetViews>
    <sheetView workbookViewId="0" tabSelected="1"/>
  </sheetViews>
  <sheetFormatPr defaultRowHeight="15" x14ac:dyDescent="0.25"/>
  <cols>
    <col min="1" max="1" style="10" width="14.147857142857141" customWidth="1" bestFit="1"/>
    <col min="2" max="2" style="11" width="14.147857142857141" customWidth="1" bestFit="1"/>
    <col min="3" max="3" style="10" width="25.005" customWidth="1" bestFit="1"/>
    <col min="4" max="4" style="10" width="14.147857142857141" customWidth="1" bestFit="1"/>
    <col min="5" max="5" style="10" width="14.147857142857141" customWidth="1" bestFit="1"/>
    <col min="6" max="6" style="10" width="12.43357142857143" customWidth="1" bestFit="1"/>
    <col min="7" max="7" style="10" width="10.43357142857143" customWidth="1" bestFit="1"/>
    <col min="8" max="8" style="12" width="14.147857142857141" customWidth="1" bestFit="1"/>
    <col min="9" max="9" style="13" width="14.147857142857141" customWidth="1" bestFit="1"/>
    <col min="10" max="10" style="12" width="14.147857142857141" customWidth="1" bestFit="1"/>
    <col min="11" max="11" style="14" width="19.719285714285714" customWidth="1" bestFit="1"/>
    <col min="12" max="12" style="12" width="31.290714285714284" customWidth="1" bestFit="1"/>
    <col min="13" max="13" style="14" width="12.005" customWidth="1" bestFit="1"/>
    <col min="14" max="14" style="14" width="14.147857142857141" customWidth="1" bestFit="1"/>
    <col min="15" max="15" style="14" width="14.147857142857141" customWidth="1" bestFit="1"/>
    <col min="16" max="16" style="15" width="14.147857142857141" customWidth="1" bestFit="1"/>
    <col min="17" max="17" style="13" width="14.147857142857141" customWidth="1" bestFit="1"/>
  </cols>
  <sheetData>
    <row x14ac:dyDescent="0.25" r="1" customHeight="1" ht="19.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3"/>
      <c r="I1" s="4" t="s">
        <v>7</v>
      </c>
      <c r="J1" s="3" t="s">
        <v>8</v>
      </c>
      <c r="K1" s="5"/>
      <c r="L1" s="3" t="s">
        <v>9</v>
      </c>
      <c r="M1" s="5" t="s">
        <v>10</v>
      </c>
      <c r="N1" s="5" t="s">
        <v>11</v>
      </c>
      <c r="O1" s="5" t="s">
        <v>12</v>
      </c>
      <c r="P1" s="6" t="s">
        <v>13</v>
      </c>
      <c r="Q1" s="4" t="s">
        <v>14</v>
      </c>
    </row>
    <row x14ac:dyDescent="0.25" r="2" customHeight="1" ht="19.5">
      <c r="A2" s="7">
        <v>0</v>
      </c>
      <c r="B2" s="7">
        <f>A2*3600</f>
      </c>
      <c r="C2" s="8">
        <f>Diffusion_MS_xloil(B2:B65,J2,L2:L4,M2:M4,N2:N4,P2:P4,Q2:Q4)</f>
      </c>
      <c r="D2" s="8">
        <v>0.3000000000000002</v>
      </c>
      <c r="E2" s="8">
        <v>0.5000000000000003</v>
      </c>
      <c r="F2" s="8">
        <f>Diffusion1D(B2:B65,J2,K9,M2,N2)</f>
      </c>
      <c r="G2" s="8">
        <f>(1-C2/F2)^2</f>
      </c>
      <c r="H2" s="3"/>
      <c r="I2" s="4" t="s">
        <v>15</v>
      </c>
      <c r="J2" s="9">
        <v>0.00001</v>
      </c>
      <c r="K2" s="5" t="s">
        <v>16</v>
      </c>
      <c r="L2" s="9">
        <v>1e-9</v>
      </c>
      <c r="M2" s="8">
        <v>0.2</v>
      </c>
      <c r="N2" s="8">
        <v>0.3</v>
      </c>
      <c r="O2" s="8">
        <v>0.5</v>
      </c>
      <c r="P2" s="8">
        <v>18.015</v>
      </c>
      <c r="Q2" s="4" t="s">
        <v>17</v>
      </c>
    </row>
    <row x14ac:dyDescent="0.25" r="3" customHeight="1" ht="19.5">
      <c r="A3" s="8">
        <v>0.1</v>
      </c>
      <c r="B3" s="7">
        <f>A3*3600</f>
      </c>
      <c r="C3" s="8">
        <v>0.283724491861079</v>
      </c>
      <c r="D3" s="8">
        <v>0.2824675557181512</v>
      </c>
      <c r="E3" s="8">
        <v>0.4338079524207696</v>
      </c>
      <c r="F3" s="8">
        <v>0.28758745217621295</v>
      </c>
      <c r="G3" s="8">
        <f>(1-C3/F3)^2</f>
      </c>
      <c r="H3" s="3"/>
      <c r="I3" s="4" t="s">
        <v>18</v>
      </c>
      <c r="J3" s="3"/>
      <c r="K3" s="5" t="s">
        <v>19</v>
      </c>
      <c r="L3" s="9">
        <v>1e-13</v>
      </c>
      <c r="M3" s="8">
        <v>0.3</v>
      </c>
      <c r="N3" s="8">
        <f>(1-N2)*(1-$O$2)</f>
      </c>
      <c r="O3" s="5"/>
      <c r="P3" s="7">
        <v>48</v>
      </c>
      <c r="Q3" s="4" t="s">
        <v>17</v>
      </c>
    </row>
    <row x14ac:dyDescent="0.25" r="4" customHeight="1" ht="19.5">
      <c r="A4" s="8">
        <v>0.2</v>
      </c>
      <c r="B4" s="7">
        <f>A4*3600</f>
      </c>
      <c r="C4" s="8">
        <v>0.29604961983749095</v>
      </c>
      <c r="D4" s="8">
        <v>0.2839395966923029</v>
      </c>
      <c r="E4" s="8">
        <v>0.4200107834702061</v>
      </c>
      <c r="F4" s="8">
        <v>0.2979014491858412</v>
      </c>
      <c r="G4" s="8">
        <f>(1-C4/F4)^2</f>
      </c>
      <c r="H4" s="3"/>
      <c r="I4" s="4" t="s">
        <v>20</v>
      </c>
      <c r="J4" s="3"/>
      <c r="K4" s="5" t="s">
        <v>21</v>
      </c>
      <c r="L4" s="9">
        <v>1e-14</v>
      </c>
      <c r="M4" s="8">
        <v>0.5</v>
      </c>
      <c r="N4" s="8">
        <f>(1-N2)*($O$2)</f>
      </c>
      <c r="O4" s="5"/>
      <c r="P4" s="7">
        <v>25700</v>
      </c>
      <c r="Q4" s="4" t="s">
        <v>22</v>
      </c>
    </row>
    <row x14ac:dyDescent="0.25" r="5" customHeight="1" ht="19.5">
      <c r="A5" s="8">
        <v>0.3</v>
      </c>
      <c r="B5" s="7">
        <f>A5*3600</f>
      </c>
      <c r="C5" s="8">
        <v>0.29845129256285785</v>
      </c>
      <c r="D5" s="8">
        <v>0.2878265872283662</v>
      </c>
      <c r="E5" s="8">
        <v>0.4137221202087763</v>
      </c>
      <c r="F5" s="8">
        <v>0.2996408668526346</v>
      </c>
      <c r="G5" s="8">
        <f>(1-C5/F5)^2</f>
      </c>
      <c r="H5" s="3" t="s">
        <v>23</v>
      </c>
      <c r="I5" s="4"/>
      <c r="J5" s="3"/>
      <c r="K5" s="5"/>
      <c r="L5" s="3"/>
      <c r="M5" s="5"/>
      <c r="N5" s="5"/>
      <c r="O5" s="5"/>
      <c r="P5" s="6"/>
      <c r="Q5" s="4"/>
    </row>
    <row x14ac:dyDescent="0.25" r="6" customHeight="1" ht="19.5">
      <c r="A6" s="8">
        <v>0.4</v>
      </c>
      <c r="B6" s="7">
        <f>A6*3600</f>
      </c>
      <c r="C6" s="8">
        <v>0.29894441771199465</v>
      </c>
      <c r="D6" s="8">
        <v>0.2917070358428084</v>
      </c>
      <c r="E6" s="8">
        <v>0.4093485464451969</v>
      </c>
      <c r="F6" s="8">
        <v>0.29993831475220395</v>
      </c>
      <c r="G6" s="8">
        <f>(1-C6/F6)^2</f>
      </c>
      <c r="H6" s="9">
        <f>SUM(G2:G65)</f>
      </c>
      <c r="I6" s="4"/>
      <c r="J6" s="3"/>
      <c r="K6" s="5"/>
      <c r="L6" s="3" t="s">
        <v>24</v>
      </c>
      <c r="M6" s="8">
        <f>((1-O2)/L2+O2/L3)^-1</f>
      </c>
      <c r="N6" s="5"/>
      <c r="O6" s="5"/>
      <c r="P6" s="6"/>
      <c r="Q6" s="4"/>
    </row>
    <row x14ac:dyDescent="0.25" r="7" customHeight="1" ht="19.5">
      <c r="A7" s="8">
        <v>0.5</v>
      </c>
      <c r="B7" s="7">
        <f>A7*3600</f>
      </c>
      <c r="C7" s="8">
        <v>0.29907902819941834</v>
      </c>
      <c r="D7" s="8">
        <v>0.2952377153183145</v>
      </c>
      <c r="E7" s="8">
        <v>0.405683256482267</v>
      </c>
      <c r="F7" s="8">
        <v>0.2999894014923604</v>
      </c>
      <c r="G7" s="8">
        <f>(1-C7/F7)^2</f>
      </c>
      <c r="H7" s="3"/>
      <c r="I7" s="4"/>
      <c r="J7" s="3"/>
      <c r="K7" s="5" t="s">
        <v>25</v>
      </c>
      <c r="L7" s="3"/>
      <c r="M7" s="5"/>
      <c r="N7" s="5"/>
      <c r="O7" s="5"/>
      <c r="P7" s="6"/>
      <c r="Q7" s="4"/>
    </row>
    <row x14ac:dyDescent="0.25" r="8" customHeight="1" ht="19.5">
      <c r="A8" s="8">
        <v>0.6</v>
      </c>
      <c r="B8" s="7">
        <f>A8*3600</f>
      </c>
      <c r="C8" s="8">
        <v>0.29914519607893103</v>
      </c>
      <c r="D8" s="8">
        <v>0.29843721698362996</v>
      </c>
      <c r="E8" s="8">
        <v>0.40241758693743906</v>
      </c>
      <c r="F8" s="8">
        <v>0.2999979484996146</v>
      </c>
      <c r="G8" s="8">
        <f>(1-C8/F8)^2</f>
      </c>
      <c r="H8" s="3"/>
      <c r="I8" s="4"/>
      <c r="J8" s="3"/>
      <c r="K8" s="8">
        <v>199.46867299515276</v>
      </c>
      <c r="L8" s="3"/>
      <c r="M8" s="5"/>
      <c r="N8" s="5"/>
      <c r="O8" s="5"/>
      <c r="P8" s="6"/>
      <c r="Q8" s="4"/>
    </row>
    <row x14ac:dyDescent="0.25" r="9" customHeight="1" ht="19.5">
      <c r="A9" s="8">
        <v>0.7</v>
      </c>
      <c r="B9" s="7">
        <f>A9*3600</f>
      </c>
      <c r="C9" s="8">
        <v>0.2991957192300397</v>
      </c>
      <c r="D9" s="8">
        <v>0.3013619854284691</v>
      </c>
      <c r="E9" s="8">
        <v>0.39944229534149095</v>
      </c>
      <c r="F9" s="8">
        <v>0.29999966608058215</v>
      </c>
      <c r="G9" s="8">
        <f>(1-C9/F9)^2</f>
      </c>
      <c r="H9" s="3"/>
      <c r="I9" s="4"/>
      <c r="J9" s="3"/>
      <c r="K9" s="8">
        <f>K8*0.000000000000001</f>
      </c>
      <c r="L9" s="3"/>
      <c r="M9" s="5"/>
      <c r="N9" s="5"/>
      <c r="O9" s="5"/>
      <c r="P9" s="6"/>
      <c r="Q9" s="4"/>
    </row>
    <row x14ac:dyDescent="0.25" r="10" customHeight="1" ht="19.5">
      <c r="A10" s="8">
        <v>0.8</v>
      </c>
      <c r="B10" s="7">
        <f>A10*3600</f>
      </c>
      <c r="C10" s="8">
        <v>0.2992408145894056</v>
      </c>
      <c r="D10" s="8">
        <v>0.3040576699553465</v>
      </c>
      <c r="E10" s="8">
        <v>0.3967015154552481</v>
      </c>
      <c r="F10" s="8">
        <v>0.2999999448225301</v>
      </c>
      <c r="G10" s="8">
        <f>(1-C10/F10)^2</f>
      </c>
      <c r="H10" s="3"/>
      <c r="I10" s="4"/>
      <c r="J10" s="3"/>
      <c r="K10" s="5"/>
      <c r="L10" s="3"/>
      <c r="M10" s="5"/>
      <c r="N10" s="5"/>
      <c r="O10" s="5"/>
      <c r="P10" s="6"/>
      <c r="Q10" s="4"/>
    </row>
    <row x14ac:dyDescent="0.25" r="11" customHeight="1" ht="19.5">
      <c r="A11" s="8">
        <v>0.9</v>
      </c>
      <c r="B11" s="7">
        <f>A11*3600</f>
      </c>
      <c r="C11" s="8">
        <v>0.2992822122511704</v>
      </c>
      <c r="D11" s="8">
        <v>0.30655792319883135</v>
      </c>
      <c r="E11" s="8">
        <v>0.3941598645499984</v>
      </c>
      <c r="F11" s="8">
        <v>0.3000001851533949</v>
      </c>
      <c r="G11" s="8">
        <f>(1-C11/F11)^2</f>
      </c>
      <c r="H11" s="3"/>
      <c r="I11" s="4"/>
      <c r="J11" s="3"/>
      <c r="K11" s="5"/>
      <c r="L11" s="3"/>
      <c r="M11" s="5"/>
      <c r="N11" s="5"/>
      <c r="O11" s="5"/>
      <c r="P11" s="6"/>
      <c r="Q11" s="4"/>
    </row>
    <row x14ac:dyDescent="0.25" r="12" customHeight="1" ht="19.5">
      <c r="A12" s="7">
        <v>1</v>
      </c>
      <c r="B12" s="7">
        <f>A12*3600</f>
      </c>
      <c r="C12" s="8">
        <v>0.29932071888487555</v>
      </c>
      <c r="D12" s="8">
        <v>0.30888756108635557</v>
      </c>
      <c r="E12" s="8">
        <v>0.3917917200287689</v>
      </c>
      <c r="F12" s="8">
        <v>0.30000011707217306</v>
      </c>
      <c r="G12" s="8">
        <f>(1-C12/F12)^2</f>
      </c>
      <c r="H12" s="3"/>
      <c r="I12" s="4"/>
      <c r="J12" s="3"/>
      <c r="K12" s="5"/>
      <c r="L12" s="3"/>
      <c r="M12" s="5"/>
      <c r="N12" s="5"/>
      <c r="O12" s="5"/>
      <c r="P12" s="6"/>
      <c r="Q12" s="4"/>
    </row>
    <row x14ac:dyDescent="0.25" r="13" customHeight="1" ht="19.5">
      <c r="A13" s="8">
        <v>1.1</v>
      </c>
      <c r="B13" s="8">
        <f>A13*3600</f>
      </c>
      <c r="C13" s="8">
        <v>0.299356679172804</v>
      </c>
      <c r="D13" s="8">
        <v>0.3110656614069031</v>
      </c>
      <c r="E13" s="8">
        <v>0.38957765942029277</v>
      </c>
      <c r="F13" s="8">
        <v>0.2999999996702764</v>
      </c>
      <c r="G13" s="8">
        <f>(1-C13/F13)^2</f>
      </c>
      <c r="H13" s="3"/>
      <c r="I13" s="9"/>
      <c r="J13" s="3"/>
      <c r="K13" s="5"/>
      <c r="L13" s="3"/>
      <c r="M13" s="5"/>
      <c r="N13" s="5"/>
      <c r="O13" s="5"/>
      <c r="P13" s="6"/>
      <c r="Q13" s="4"/>
    </row>
    <row x14ac:dyDescent="0.25" r="14" customHeight="1" ht="19.5">
      <c r="A14" s="8">
        <v>1.2</v>
      </c>
      <c r="B14" s="7">
        <f>A14*3600</f>
      </c>
      <c r="C14" s="8">
        <v>0.29939044231506745</v>
      </c>
      <c r="D14" s="8">
        <v>0.3131073335741707</v>
      </c>
      <c r="E14" s="8">
        <v>0.3875022241107621</v>
      </c>
      <c r="F14" s="8">
        <v>0.3000000196539358</v>
      </c>
      <c r="G14" s="8">
        <f>(1-C14/F14)^2</f>
      </c>
      <c r="H14" s="3"/>
      <c r="I14" s="4"/>
      <c r="J14" s="3"/>
      <c r="K14" s="5"/>
      <c r="L14" s="3"/>
      <c r="M14" s="5"/>
      <c r="N14" s="5"/>
      <c r="O14" s="5"/>
      <c r="P14" s="6"/>
      <c r="Q14" s="4"/>
    </row>
    <row x14ac:dyDescent="0.25" r="15" customHeight="1" ht="19.5">
      <c r="A15" s="8">
        <v>1.3</v>
      </c>
      <c r="B15" s="7">
        <f>A15*3600</f>
      </c>
      <c r="C15" s="8">
        <v>0.2994221356976939</v>
      </c>
      <c r="D15" s="8">
        <v>0.31502499042624593</v>
      </c>
      <c r="E15" s="8">
        <v>0.38555287387605996</v>
      </c>
      <c r="F15" s="8">
        <v>0.2999999936197071</v>
      </c>
      <c r="G15" s="8">
        <f>(1-C15/F15)^2</f>
      </c>
      <c r="H15" s="3"/>
      <c r="I15" s="4"/>
      <c r="J15" s="3"/>
      <c r="K15" s="5"/>
      <c r="L15" s="3"/>
      <c r="M15" s="5"/>
      <c r="N15" s="5"/>
      <c r="O15" s="5"/>
      <c r="P15" s="6"/>
      <c r="Q15" s="4"/>
    </row>
    <row x14ac:dyDescent="0.25" r="16" customHeight="1" ht="19.5">
      <c r="A16" s="8">
        <v>1.4</v>
      </c>
      <c r="B16" s="7">
        <f>A16*3600</f>
      </c>
      <c r="C16" s="8">
        <v>0.2994519196112489</v>
      </c>
      <c r="D16" s="8">
        <v>0.316828998321551</v>
      </c>
      <c r="E16" s="8">
        <v>0.3837190820671998</v>
      </c>
      <c r="F16" s="8">
        <v>0.29999995645619826</v>
      </c>
      <c r="G16" s="8">
        <f>(1-C16/F16)^2</f>
      </c>
      <c r="H16" s="3"/>
      <c r="I16" s="4"/>
      <c r="J16" s="3"/>
      <c r="K16" s="5"/>
      <c r="L16" s="3"/>
      <c r="M16" s="5"/>
      <c r="N16" s="5"/>
      <c r="O16" s="5"/>
      <c r="P16" s="6"/>
      <c r="Q16" s="4"/>
    </row>
    <row x14ac:dyDescent="0.25" r="17" customHeight="1" ht="19.5">
      <c r="A17" s="8">
        <v>1.5</v>
      </c>
      <c r="B17" s="7">
        <f>A17*3600</f>
      </c>
      <c r="C17" s="8">
        <v>0.299479980459377</v>
      </c>
      <c r="D17" s="8">
        <v>0.31852822626822375</v>
      </c>
      <c r="E17" s="8">
        <v>0.381991793272399</v>
      </c>
      <c r="F17" s="8">
        <v>0.2999999543840372</v>
      </c>
      <c r="G17" s="8">
        <f>(1-C17/F17)^2</f>
      </c>
      <c r="H17" s="3"/>
      <c r="I17" s="4"/>
      <c r="J17" s="3"/>
      <c r="K17" s="5"/>
      <c r="L17" s="3"/>
      <c r="M17" s="5"/>
      <c r="N17" s="5"/>
      <c r="O17" s="5"/>
      <c r="P17" s="6"/>
      <c r="Q17" s="4"/>
    </row>
    <row x14ac:dyDescent="0.25" r="18" customHeight="1" ht="19.5">
      <c r="A18" s="8">
        <v>1.6</v>
      </c>
      <c r="B18" s="7">
        <f>A18*3600</f>
      </c>
      <c r="C18" s="8">
        <v>0.29950646592502095</v>
      </c>
      <c r="D18" s="8">
        <v>0.3201304376511755</v>
      </c>
      <c r="E18" s="8">
        <v>0.38036309642380345</v>
      </c>
      <c r="F18" s="8">
        <v>0.29999998389805665</v>
      </c>
      <c r="G18" s="8">
        <f>(1-C18/F18)^2</f>
      </c>
      <c r="H18" s="3"/>
      <c r="I18" s="4"/>
      <c r="J18" s="3"/>
      <c r="K18" s="5"/>
      <c r="L18" s="3"/>
      <c r="M18" s="5"/>
      <c r="N18" s="5"/>
      <c r="O18" s="5"/>
      <c r="P18" s="6"/>
      <c r="Q18" s="4"/>
    </row>
    <row x14ac:dyDescent="0.25" r="19" customHeight="1" ht="19.5">
      <c r="A19" s="8">
        <v>1.7</v>
      </c>
      <c r="B19" s="7">
        <f>A19*3600</f>
      </c>
      <c r="C19" s="8">
        <v>0.29953146942229103</v>
      </c>
      <c r="D19" s="8">
        <v>0.3216425159496953</v>
      </c>
      <c r="E19" s="8">
        <v>0.3788260146280134</v>
      </c>
      <c r="F19" s="8">
        <v>0.30000000023414974</v>
      </c>
      <c r="G19" s="8">
        <f>(1-C19/F19)^2</f>
      </c>
      <c r="H19" s="3"/>
      <c r="I19" s="4"/>
      <c r="J19" s="3"/>
      <c r="K19" s="5"/>
      <c r="L19" s="3"/>
      <c r="M19" s="5"/>
      <c r="N19" s="5"/>
      <c r="O19" s="5"/>
      <c r="P19" s="6"/>
      <c r="Q19" s="4"/>
    </row>
    <row x14ac:dyDescent="0.25" r="20" customHeight="1" ht="19.5">
      <c r="A20" s="8">
        <v>1.8</v>
      </c>
      <c r="B20" s="7">
        <f>A20*3600</f>
      </c>
      <c r="C20" s="8">
        <v>0.29955507066953274</v>
      </c>
      <c r="D20" s="8">
        <v>0.3230706050322994</v>
      </c>
      <c r="E20" s="8">
        <v>0.3773743242981678</v>
      </c>
      <c r="F20" s="8">
        <v>0.299999996224658</v>
      </c>
      <c r="G20" s="8">
        <f>(1-C20/F20)^2</f>
      </c>
      <c r="H20" s="3"/>
      <c r="I20" s="4"/>
      <c r="J20" s="3"/>
      <c r="K20" s="5"/>
      <c r="L20" s="3"/>
      <c r="M20" s="5"/>
      <c r="N20" s="5"/>
      <c r="O20" s="5"/>
      <c r="P20" s="6"/>
      <c r="Q20" s="4"/>
    </row>
    <row x14ac:dyDescent="0.25" r="21" customHeight="1" ht="19.5">
      <c r="A21" s="8">
        <v>1.9</v>
      </c>
      <c r="B21" s="7">
        <f>A21*3600</f>
      </c>
      <c r="C21" s="8">
        <v>0.29957736519649886</v>
      </c>
      <c r="D21" s="8">
        <v>0.3244202382252999</v>
      </c>
      <c r="E21" s="8">
        <v>0.37600239657820117</v>
      </c>
      <c r="F21" s="8">
        <v>0.29999997774116866</v>
      </c>
      <c r="G21" s="8">
        <f>(1-C21/F21)^2</f>
      </c>
      <c r="H21" s="3"/>
      <c r="I21" s="4"/>
      <c r="J21" s="3"/>
      <c r="K21" s="5"/>
      <c r="L21" s="3"/>
      <c r="M21" s="5"/>
      <c r="N21" s="5"/>
      <c r="O21" s="5"/>
      <c r="P21" s="6"/>
      <c r="Q21" s="4"/>
    </row>
    <row x14ac:dyDescent="0.25" r="22" customHeight="1" ht="19.5">
      <c r="A22" s="7">
        <v>2</v>
      </c>
      <c r="B22" s="7">
        <f>A22*3600</f>
      </c>
      <c r="C22" s="8">
        <v>0.2995984324986998</v>
      </c>
      <c r="D22" s="8">
        <v>0.325696445120091</v>
      </c>
      <c r="E22" s="8">
        <v>0.3747051223812089</v>
      </c>
      <c r="F22" s="8">
        <v>0.2999999041706385</v>
      </c>
      <c r="G22" s="8">
        <f>(1-C22/F22)^2</f>
      </c>
      <c r="H22" s="3"/>
      <c r="I22" s="4"/>
      <c r="J22" s="3"/>
      <c r="K22" s="5"/>
      <c r="L22" s="3"/>
      <c r="M22" s="5"/>
      <c r="N22" s="5"/>
      <c r="O22" s="5"/>
      <c r="P22" s="6"/>
      <c r="Q22" s="4"/>
    </row>
    <row x14ac:dyDescent="0.25" r="23" customHeight="1" ht="19.5">
      <c r="A23" s="8">
        <v>2.1</v>
      </c>
      <c r="B23" s="7">
        <f>A23*3600</f>
      </c>
      <c r="C23" s="8">
        <v>0.29961837491020055</v>
      </c>
      <c r="D23" s="8">
        <v>0.3269038518124059</v>
      </c>
      <c r="E23" s="8">
        <v>0.3734777732773936</v>
      </c>
      <c r="F23" s="8">
        <v>0.29999984488573433</v>
      </c>
      <c r="G23" s="8">
        <f>(1-C23/F23)^2</f>
      </c>
      <c r="H23" s="3"/>
      <c r="I23" s="4"/>
      <c r="J23" s="3"/>
      <c r="K23" s="5"/>
      <c r="L23" s="3"/>
      <c r="M23" s="5"/>
      <c r="N23" s="5"/>
      <c r="O23" s="5"/>
      <c r="P23" s="6"/>
      <c r="Q23" s="4"/>
    </row>
    <row x14ac:dyDescent="0.25" r="24" customHeight="1" ht="19.5">
      <c r="A24" s="8">
        <v>2.2</v>
      </c>
      <c r="B24" s="8">
        <f>A24*3600</f>
      </c>
      <c r="C24" s="8">
        <v>0.29963724507686895</v>
      </c>
      <c r="D24" s="8">
        <v>0.32804670024845217</v>
      </c>
      <c r="E24" s="8">
        <v>0.3723160546746785</v>
      </c>
      <c r="F24" s="8">
        <v>0.29999990509238383</v>
      </c>
      <c r="G24" s="8">
        <f>(1-C24/F24)^2</f>
      </c>
      <c r="H24" s="3"/>
      <c r="I24" s="4"/>
      <c r="J24" s="3"/>
      <c r="K24" s="5"/>
      <c r="L24" s="3"/>
      <c r="M24" s="5"/>
      <c r="N24" s="5"/>
      <c r="O24" s="5"/>
      <c r="P24" s="6"/>
      <c r="Q24" s="4"/>
    </row>
    <row x14ac:dyDescent="0.25" r="25" customHeight="1" ht="19.5">
      <c r="A25" s="8">
        <v>2.3</v>
      </c>
      <c r="B25" s="7">
        <f>A25*3600</f>
      </c>
      <c r="C25" s="8">
        <v>0.29965515108586377</v>
      </c>
      <c r="D25" s="8">
        <v>0.32912896859806373</v>
      </c>
      <c r="E25" s="8">
        <v>0.3712158803160724</v>
      </c>
      <c r="F25" s="8">
        <v>0.2999999386984785</v>
      </c>
      <c r="G25" s="8">
        <f>(1-C25/F25)^2</f>
      </c>
      <c r="H25" s="3"/>
      <c r="I25" s="4"/>
      <c r="J25" s="3"/>
      <c r="K25" s="5"/>
      <c r="L25" s="3"/>
      <c r="M25" s="5"/>
      <c r="N25" s="5"/>
      <c r="O25" s="5"/>
      <c r="P25" s="6"/>
      <c r="Q25" s="4"/>
    </row>
    <row x14ac:dyDescent="0.25" r="26" customHeight="1" ht="19.5">
      <c r="A26" s="8">
        <v>2.4</v>
      </c>
      <c r="B26" s="7">
        <f>A26*3600</f>
      </c>
      <c r="C26" s="8">
        <v>0.29967211267181504</v>
      </c>
      <c r="D26" s="8">
        <v>0.3301542776726275</v>
      </c>
      <c r="E26" s="8">
        <v>0.3701736096555576</v>
      </c>
      <c r="F26" s="8">
        <v>0.2999999813382248</v>
      </c>
      <c r="G26" s="8">
        <f>(1-C26/F26)^2</f>
      </c>
      <c r="H26" s="3"/>
      <c r="I26" s="4"/>
      <c r="J26" s="3"/>
      <c r="K26" s="5"/>
      <c r="L26" s="3"/>
      <c r="M26" s="5"/>
      <c r="N26" s="5"/>
      <c r="O26" s="5"/>
      <c r="P26" s="6"/>
      <c r="Q26" s="4"/>
    </row>
    <row x14ac:dyDescent="0.25" r="27" customHeight="1" ht="19.5">
      <c r="A27" s="8">
        <v>2.5</v>
      </c>
      <c r="B27" s="7">
        <f>A27*3600</f>
      </c>
      <c r="C27" s="8">
        <v>0.299688170562602</v>
      </c>
      <c r="D27" s="8">
        <v>0.33112596684291556</v>
      </c>
      <c r="E27" s="8">
        <v>0.3691858625944824</v>
      </c>
      <c r="F27" s="8">
        <v>0.30000002169376994</v>
      </c>
      <c r="G27" s="8">
        <f>(1-C27/F27)^2</f>
      </c>
      <c r="H27" s="3"/>
      <c r="I27" s="4"/>
      <c r="J27" s="3"/>
      <c r="K27" s="5"/>
      <c r="L27" s="3"/>
      <c r="M27" s="5"/>
      <c r="N27" s="5"/>
      <c r="O27" s="5"/>
      <c r="P27" s="6"/>
      <c r="Q27" s="4"/>
    </row>
    <row x14ac:dyDescent="0.25" r="28" customHeight="1" ht="19.5">
      <c r="A28" s="8">
        <v>2.6</v>
      </c>
      <c r="B28" s="7">
        <f>A28*3600</f>
      </c>
      <c r="C28" s="8">
        <v>0.2997033828080654</v>
      </c>
      <c r="D28" s="8">
        <v>0.33204714062304075</v>
      </c>
      <c r="E28" s="8">
        <v>0.368249476568894</v>
      </c>
      <c r="F28" s="8">
        <v>0.30000002061685405</v>
      </c>
      <c r="G28" s="8">
        <f>(1-C28/F28)^2</f>
      </c>
      <c r="H28" s="3"/>
      <c r="I28" s="4"/>
      <c r="J28" s="3"/>
      <c r="K28" s="5"/>
      <c r="L28" s="3"/>
      <c r="M28" s="5"/>
      <c r="N28" s="5"/>
      <c r="O28" s="5"/>
      <c r="P28" s="6"/>
      <c r="Q28" s="4"/>
    </row>
    <row x14ac:dyDescent="0.25" r="29" customHeight="1" ht="19.5">
      <c r="A29" s="8">
        <v>2.7</v>
      </c>
      <c r="B29" s="7">
        <f>A29*3600</f>
      </c>
      <c r="C29" s="8">
        <v>0.2997178074173781</v>
      </c>
      <c r="D29" s="8">
        <v>0.33292069918853645</v>
      </c>
      <c r="E29" s="8">
        <v>0.3673614933940852</v>
      </c>
      <c r="F29" s="8">
        <v>0.30000001677704236</v>
      </c>
      <c r="G29" s="8">
        <f>(1-C29/F29)^2</f>
      </c>
      <c r="H29" s="3"/>
      <c r="I29" s="4"/>
      <c r="J29" s="3"/>
      <c r="K29" s="5"/>
      <c r="L29" s="3"/>
      <c r="M29" s="5"/>
      <c r="N29" s="5"/>
      <c r="O29" s="5"/>
      <c r="P29" s="6"/>
      <c r="Q29" s="4"/>
    </row>
    <row x14ac:dyDescent="0.25" r="30" customHeight="1" ht="19.5">
      <c r="A30" s="8">
        <v>2.8</v>
      </c>
      <c r="B30" s="7">
        <f>A30*3600</f>
      </c>
      <c r="C30" s="8">
        <v>0.2997315031403829</v>
      </c>
      <c r="D30" s="8">
        <v>0.33374937143053407</v>
      </c>
      <c r="E30" s="8">
        <v>0.3665191254290832</v>
      </c>
      <c r="F30" s="8">
        <v>0.30000000582163455</v>
      </c>
      <c r="G30" s="8">
        <f>(1-C30/F30)^2</f>
      </c>
      <c r="H30" s="3"/>
      <c r="I30" s="4"/>
      <c r="J30" s="3"/>
      <c r="K30" s="5"/>
      <c r="L30" s="3"/>
      <c r="M30" s="5"/>
      <c r="N30" s="5"/>
      <c r="O30" s="5"/>
      <c r="P30" s="6"/>
      <c r="Q30" s="4"/>
    </row>
    <row x14ac:dyDescent="0.25" r="31" customHeight="1" ht="19.5">
      <c r="A31" s="8">
        <v>2.9</v>
      </c>
      <c r="B31" s="7">
        <f>A31*3600</f>
      </c>
      <c r="C31" s="8">
        <v>0.29974450357175425</v>
      </c>
      <c r="D31" s="8">
        <v>0.3345357020558475</v>
      </c>
      <c r="E31" s="8">
        <v>0.3657197943723979</v>
      </c>
      <c r="F31" s="8">
        <v>0.2999999924459007</v>
      </c>
      <c r="G31" s="8">
        <f>(1-C31/F31)^2</f>
      </c>
      <c r="H31" s="3"/>
      <c r="I31" s="4"/>
      <c r="J31" s="3"/>
      <c r="K31" s="5"/>
      <c r="L31" s="3"/>
      <c r="M31" s="5"/>
      <c r="N31" s="5"/>
      <c r="O31" s="5"/>
      <c r="P31" s="6"/>
      <c r="Q31" s="4"/>
    </row>
    <row x14ac:dyDescent="0.25" r="32" customHeight="1" ht="19.5">
      <c r="A32" s="7">
        <v>3</v>
      </c>
      <c r="B32" s="7">
        <f>A32*3600</f>
      </c>
      <c r="C32" s="8">
        <v>0.2997568444223952</v>
      </c>
      <c r="D32" s="8">
        <v>0.3352820573749386</v>
      </c>
      <c r="E32" s="8">
        <v>0.3649610982026666</v>
      </c>
      <c r="F32" s="8">
        <v>0.29999999160102564</v>
      </c>
      <c r="G32" s="8">
        <f>(1-C32/F32)^2</f>
      </c>
      <c r="H32" s="3"/>
      <c r="I32" s="4"/>
      <c r="J32" s="3"/>
      <c r="K32" s="5"/>
      <c r="L32" s="3"/>
      <c r="M32" s="5"/>
      <c r="N32" s="5"/>
      <c r="O32" s="5"/>
      <c r="P32" s="6"/>
      <c r="Q32" s="4"/>
    </row>
    <row x14ac:dyDescent="0.25" r="33" customHeight="1" ht="19.5">
      <c r="A33" s="8">
        <v>3.1</v>
      </c>
      <c r="B33" s="7">
        <f>A33*3600</f>
      </c>
      <c r="C33" s="8">
        <v>0.2997685514626709</v>
      </c>
      <c r="D33" s="8">
        <v>0.3359906648530079</v>
      </c>
      <c r="E33" s="8">
        <v>0.3642407836843213</v>
      </c>
      <c r="F33" s="8">
        <v>0.2999999842492843</v>
      </c>
      <c r="G33" s="8">
        <f>(1-C33/F33)^2</f>
      </c>
      <c r="H33" s="3"/>
      <c r="I33" s="4"/>
      <c r="J33" s="3"/>
      <c r="K33" s="5"/>
      <c r="L33" s="3"/>
      <c r="M33" s="5"/>
      <c r="N33" s="5"/>
      <c r="O33" s="5"/>
      <c r="P33" s="6"/>
      <c r="Q33" s="4"/>
    </row>
    <row x14ac:dyDescent="0.25" r="34" customHeight="1" ht="19.5">
      <c r="A34" s="8">
        <v>3.2</v>
      </c>
      <c r="B34" s="7">
        <f>A34*3600</f>
      </c>
      <c r="C34" s="8">
        <v>0.2997796689430838</v>
      </c>
      <c r="D34" s="8">
        <v>0.33666359012999425</v>
      </c>
      <c r="E34" s="8">
        <v>0.363556740926922</v>
      </c>
      <c r="F34" s="8">
        <v>0.29999997914245247</v>
      </c>
      <c r="G34" s="8">
        <f>(1-C34/F34)^2</f>
      </c>
      <c r="H34" s="3"/>
      <c r="I34" s="4"/>
      <c r="J34" s="3"/>
      <c r="K34" s="5"/>
      <c r="L34" s="3"/>
      <c r="M34" s="5"/>
      <c r="N34" s="5"/>
      <c r="O34" s="5"/>
      <c r="P34" s="6"/>
      <c r="Q34" s="4"/>
    </row>
    <row x14ac:dyDescent="0.25" r="35" customHeight="1" ht="19.5">
      <c r="A35" s="8">
        <v>3.3</v>
      </c>
      <c r="B35" s="7">
        <f>A35*3600</f>
      </c>
      <c r="C35" s="8">
        <v>0.2997902225282689</v>
      </c>
      <c r="D35" s="8">
        <v>0.33730278155729204</v>
      </c>
      <c r="E35" s="8">
        <v>0.3629069959144388</v>
      </c>
      <c r="F35" s="8">
        <v>0.29999998603551087</v>
      </c>
      <c r="G35" s="8">
        <f>(1-C35/F35)^2</f>
      </c>
      <c r="H35" s="3"/>
      <c r="I35" s="4"/>
      <c r="J35" s="3"/>
      <c r="K35" s="5"/>
      <c r="L35" s="3"/>
      <c r="M35" s="5"/>
      <c r="N35" s="5"/>
      <c r="O35" s="5"/>
      <c r="P35" s="6"/>
      <c r="Q35" s="4"/>
    </row>
    <row x14ac:dyDescent="0.25" r="36" customHeight="1" ht="19.5">
      <c r="A36" s="8">
        <v>3.4</v>
      </c>
      <c r="B36" s="7">
        <f>A36*3600</f>
      </c>
      <c r="C36" s="8">
        <v>0.2998002516195352</v>
      </c>
      <c r="D36" s="8">
        <v>0.33791005700743076</v>
      </c>
      <c r="E36" s="8">
        <v>0.36228969137303363</v>
      </c>
      <c r="F36" s="8">
        <v>0.2999999883390361</v>
      </c>
      <c r="G36" s="8">
        <f>(1-C36/F36)^2</f>
      </c>
      <c r="H36" s="3"/>
      <c r="I36" s="4"/>
      <c r="J36" s="3"/>
      <c r="K36" s="5"/>
      <c r="L36" s="3"/>
      <c r="M36" s="5"/>
      <c r="N36" s="5"/>
      <c r="O36" s="5"/>
      <c r="P36" s="6"/>
      <c r="Q36" s="4"/>
    </row>
    <row x14ac:dyDescent="0.25" r="37" customHeight="1" ht="19.5">
      <c r="A37" s="8">
        <v>3.5</v>
      </c>
      <c r="B37" s="7">
        <f>A37*3600</f>
      </c>
      <c r="C37" s="8">
        <v>0.2998097829061657</v>
      </c>
      <c r="D37" s="8">
        <v>0.3384871294092569</v>
      </c>
      <c r="E37" s="8">
        <v>0.3617030876845771</v>
      </c>
      <c r="F37" s="8">
        <v>0.2999999894004691</v>
      </c>
      <c r="G37" s="8">
        <f>(1-C37/F37)^2</f>
      </c>
      <c r="H37" s="3"/>
      <c r="I37" s="4"/>
      <c r="J37" s="3"/>
      <c r="K37" s="5"/>
      <c r="L37" s="3"/>
      <c r="M37" s="5"/>
      <c r="N37" s="5"/>
      <c r="O37" s="5"/>
      <c r="P37" s="6"/>
      <c r="Q37" s="4"/>
    </row>
    <row x14ac:dyDescent="0.25" r="38" customHeight="1" ht="19.5">
      <c r="A38" s="8">
        <v>3.6</v>
      </c>
      <c r="B38" s="7">
        <f>A38*3600</f>
      </c>
      <c r="C38" s="8">
        <v>0.29981884427877886</v>
      </c>
      <c r="D38" s="8">
        <v>0.33903560700226226</v>
      </c>
      <c r="E38" s="8">
        <v>0.36114554871895865</v>
      </c>
      <c r="F38" s="8">
        <v>0.2999999937480056</v>
      </c>
      <c r="G38" s="8">
        <f>(1-C38/F38)^2</f>
      </c>
      <c r="H38" s="3"/>
      <c r="I38" s="4"/>
      <c r="J38" s="3"/>
      <c r="K38" s="5"/>
      <c r="L38" s="3"/>
      <c r="M38" s="5"/>
      <c r="N38" s="5"/>
      <c r="O38" s="5"/>
      <c r="P38" s="6"/>
      <c r="Q38" s="4"/>
    </row>
    <row x14ac:dyDescent="0.25" r="39" customHeight="1" ht="19.5">
      <c r="A39" s="8">
        <v>3.7</v>
      </c>
      <c r="B39" s="7">
        <f>A39*3600</f>
      </c>
      <c r="C39" s="8">
        <v>0.2998274599181855</v>
      </c>
      <c r="D39" s="8">
        <v>0.33955700574713743</v>
      </c>
      <c r="E39" s="8">
        <v>0.3606155343346767</v>
      </c>
      <c r="F39" s="8">
        <v>0.2999999971724941</v>
      </c>
      <c r="G39" s="8">
        <f>(1-C39/F39)^2</f>
      </c>
      <c r="H39" s="3"/>
      <c r="I39" s="4"/>
      <c r="J39" s="3"/>
      <c r="K39" s="5"/>
      <c r="L39" s="3"/>
      <c r="M39" s="5"/>
      <c r="N39" s="5"/>
      <c r="O39" s="5"/>
      <c r="P39" s="6"/>
      <c r="Q39" s="4"/>
    </row>
    <row x14ac:dyDescent="0.25" r="40" customHeight="1" ht="19.5">
      <c r="A40" s="8">
        <v>3.8</v>
      </c>
      <c r="B40" s="7">
        <f>A40*3600</f>
      </c>
      <c r="C40" s="8">
        <v>0.2998356514780102</v>
      </c>
      <c r="D40" s="8">
        <v>0.34005274964110993</v>
      </c>
      <c r="E40" s="8">
        <v>0.36011159888087996</v>
      </c>
      <c r="F40" s="8">
        <v>0.29999999897186236</v>
      </c>
      <c r="G40" s="8">
        <f>(1-C40/F40)^2</f>
      </c>
      <c r="H40" s="3"/>
      <c r="I40" s="4"/>
      <c r="J40" s="3"/>
      <c r="K40" s="5"/>
      <c r="L40" s="3"/>
      <c r="M40" s="5"/>
      <c r="N40" s="5"/>
      <c r="O40" s="5"/>
      <c r="P40" s="6"/>
      <c r="Q40" s="4"/>
    </row>
    <row x14ac:dyDescent="0.25" r="41" customHeight="1" ht="19.5">
      <c r="A41" s="8">
        <v>3.9</v>
      </c>
      <c r="B41" s="7">
        <f>A41*3600</f>
      </c>
      <c r="C41" s="8">
        <v>0.2998434420411886</v>
      </c>
      <c r="D41" s="8">
        <v>0.34052418883366375</v>
      </c>
      <c r="E41" s="8">
        <v>0.35963236912514773</v>
      </c>
      <c r="F41" s="8">
        <v>0.29999999990545057</v>
      </c>
      <c r="G41" s="8">
        <f>(1-C41/F41)^2</f>
      </c>
      <c r="H41" s="3"/>
      <c r="I41" s="4"/>
      <c r="J41" s="3"/>
      <c r="K41" s="5"/>
      <c r="L41" s="3"/>
      <c r="M41" s="5"/>
      <c r="N41" s="5"/>
      <c r="O41" s="5"/>
      <c r="P41" s="6"/>
      <c r="Q41" s="4"/>
    </row>
    <row x14ac:dyDescent="0.25" r="42" customHeight="1" ht="19.5">
      <c r="A42" s="7">
        <v>4</v>
      </c>
      <c r="B42" s="7">
        <f>A42*3600</f>
      </c>
      <c r="C42" s="8">
        <v>0.2998508515620876</v>
      </c>
      <c r="D42" s="8">
        <v>0.3409725863646435</v>
      </c>
      <c r="E42" s="8">
        <v>0.35917656207326903</v>
      </c>
      <c r="F42" s="8">
        <v>0.3000000018522269</v>
      </c>
      <c r="G42" s="8">
        <f>(1-C42/F42)^2</f>
      </c>
      <c r="H42" s="3"/>
      <c r="I42" s="4"/>
      <c r="J42" s="3"/>
      <c r="K42" s="5"/>
      <c r="L42" s="3"/>
      <c r="M42" s="5"/>
      <c r="N42" s="5"/>
      <c r="O42" s="5"/>
      <c r="P42" s="6"/>
      <c r="Q42" s="4"/>
    </row>
    <row x14ac:dyDescent="0.25" r="43" customHeight="1" ht="19.5">
      <c r="A43" s="8">
        <v>4.1</v>
      </c>
      <c r="B43" s="8">
        <f>A43*3600</f>
      </c>
      <c r="C43" s="8">
        <v>0.29985789802316704</v>
      </c>
      <c r="D43" s="8">
        <v>0.34139912435042435</v>
      </c>
      <c r="E43" s="8">
        <v>0.35874297762640883</v>
      </c>
      <c r="F43" s="8">
        <v>0.30000000463451426</v>
      </c>
      <c r="G43" s="8">
        <f>(1-C43/F43)^2</f>
      </c>
      <c r="H43" s="3"/>
      <c r="I43" s="4"/>
      <c r="J43" s="3"/>
      <c r="K43" s="5"/>
      <c r="L43" s="3"/>
      <c r="M43" s="5"/>
      <c r="N43" s="5"/>
      <c r="O43" s="5"/>
      <c r="P43" s="6"/>
      <c r="Q43" s="4"/>
    </row>
    <row x14ac:dyDescent="0.25" r="44" customHeight="1" ht="19.5">
      <c r="A44" s="8">
        <v>4.2</v>
      </c>
      <c r="B44" s="7">
        <f>A44*3600</f>
      </c>
      <c r="C44" s="8">
        <v>0.29986460254268066</v>
      </c>
      <c r="D44" s="8">
        <v>0.3418049456338822</v>
      </c>
      <c r="E44" s="8">
        <v>0.35833045182343704</v>
      </c>
      <c r="F44" s="8">
        <v>0.3000000072969068</v>
      </c>
      <c r="G44" s="8">
        <f>(1-C44/F44)^2</f>
      </c>
      <c r="H44" s="3"/>
      <c r="I44" s="4"/>
      <c r="J44" s="3"/>
      <c r="K44" s="5"/>
      <c r="L44" s="3"/>
      <c r="M44" s="5"/>
      <c r="N44" s="5"/>
      <c r="O44" s="5"/>
      <c r="P44" s="6"/>
      <c r="Q44" s="4"/>
    </row>
    <row x14ac:dyDescent="0.25" r="45" customHeight="1" ht="19.5">
      <c r="A45" s="8">
        <v>4.3</v>
      </c>
      <c r="B45" s="7">
        <f>A45*3600</f>
      </c>
      <c r="C45" s="8">
        <v>0.2998709820272364</v>
      </c>
      <c r="D45" s="8">
        <v>0.34219109930766534</v>
      </c>
      <c r="E45" s="8">
        <v>0.35793791866509783</v>
      </c>
      <c r="F45" s="8">
        <v>0.3000000095452766</v>
      </c>
      <c r="G45" s="8">
        <f>(1-C45/F45)^2</f>
      </c>
      <c r="H45" s="3"/>
      <c r="I45" s="4"/>
      <c r="J45" s="3"/>
      <c r="K45" s="5"/>
      <c r="L45" s="3"/>
      <c r="M45" s="5"/>
      <c r="N45" s="5"/>
      <c r="O45" s="5"/>
      <c r="P45" s="6"/>
      <c r="Q45" s="4"/>
    </row>
    <row x14ac:dyDescent="0.25" r="46" customHeight="1" ht="19.5">
      <c r="A46" s="8">
        <v>4.4</v>
      </c>
      <c r="B46" s="8">
        <f>A46*3600</f>
      </c>
      <c r="C46" s="8">
        <v>0.299877052976021</v>
      </c>
      <c r="D46" s="8">
        <v>0.3425585722738327</v>
      </c>
      <c r="E46" s="8">
        <v>0.35756437475014646</v>
      </c>
      <c r="F46" s="8">
        <v>0.30000001108549584</v>
      </c>
      <c r="G46" s="8">
        <f>(1-C46/F46)^2</f>
      </c>
      <c r="H46" s="3"/>
      <c r="I46" s="4"/>
      <c r="J46" s="3"/>
      <c r="K46" s="5"/>
      <c r="L46" s="3"/>
      <c r="M46" s="5"/>
      <c r="N46" s="5"/>
      <c r="O46" s="5"/>
      <c r="P46" s="6"/>
      <c r="Q46" s="4"/>
    </row>
    <row x14ac:dyDescent="0.25" r="47" customHeight="1" ht="19.5">
      <c r="A47" s="8">
        <v>4.5</v>
      </c>
      <c r="B47" s="7">
        <f>A47*3600</f>
      </c>
      <c r="C47" s="8">
        <v>0.29988283125018256</v>
      </c>
      <c r="D47" s="8">
        <v>0.34290833219254246</v>
      </c>
      <c r="E47" s="8">
        <v>0.3572088365572749</v>
      </c>
      <c r="F47" s="8">
        <v>0.3000000116234357</v>
      </c>
      <c r="G47" s="8">
        <f>(1-C47/F47)^2</f>
      </c>
      <c r="H47" s="3"/>
      <c r="I47" s="4"/>
      <c r="J47" s="3"/>
      <c r="K47" s="5"/>
      <c r="L47" s="3"/>
      <c r="M47" s="5"/>
      <c r="N47" s="5"/>
      <c r="O47" s="5"/>
      <c r="P47" s="6"/>
      <c r="Q47" s="4"/>
    </row>
    <row x14ac:dyDescent="0.25" r="48" customHeight="1" ht="19.5">
      <c r="A48" s="8">
        <v>4.6</v>
      </c>
      <c r="B48" s="7">
        <f>A48*3600</f>
      </c>
      <c r="C48" s="8">
        <v>0.2998883317098287</v>
      </c>
      <c r="D48" s="8">
        <v>0.3432412599460201</v>
      </c>
      <c r="E48" s="8">
        <v>0.356870408344151</v>
      </c>
      <c r="F48" s="8">
        <v>0.3000000108649684</v>
      </c>
      <c r="G48" s="8">
        <f>(1-C48/F48)^2</f>
      </c>
      <c r="H48" s="3"/>
      <c r="I48" s="4"/>
      <c r="J48" s="3"/>
      <c r="K48" s="5"/>
      <c r="L48" s="3"/>
      <c r="M48" s="5"/>
      <c r="N48" s="5"/>
      <c r="O48" s="5"/>
      <c r="P48" s="6"/>
      <c r="Q48" s="4"/>
    </row>
    <row x14ac:dyDescent="0.25" r="49" customHeight="1" ht="19.5">
      <c r="A49" s="8">
        <v>4.7</v>
      </c>
      <c r="B49" s="7">
        <f>A49*3600</f>
      </c>
      <c r="C49" s="8">
        <v>0.29989356835786635</v>
      </c>
      <c r="D49" s="8">
        <v>0.34355819454085584</v>
      </c>
      <c r="E49" s="8">
        <v>0.3565482371012778</v>
      </c>
      <c r="F49" s="8">
        <v>0.30000000851596603</v>
      </c>
      <c r="G49" s="8">
        <f>(1-C49/F49)^2</f>
      </c>
      <c r="H49" s="3"/>
      <c r="I49" s="4"/>
      <c r="J49" s="3"/>
      <c r="K49" s="5"/>
      <c r="L49" s="3"/>
      <c r="M49" s="5"/>
      <c r="N49" s="5"/>
      <c r="O49" s="5"/>
      <c r="P49" s="6"/>
      <c r="Q49" s="4"/>
    </row>
    <row x14ac:dyDescent="0.25" r="50" customHeight="1" ht="19.5">
      <c r="A50" s="8">
        <v>4.8</v>
      </c>
      <c r="B50" s="7">
        <f>A50*3600</f>
      </c>
      <c r="C50" s="8">
        <v>0.29989855428675144</v>
      </c>
      <c r="D50" s="8">
        <v>0.3438599447709474</v>
      </c>
      <c r="E50" s="8">
        <v>0.35624150094230084</v>
      </c>
      <c r="F50" s="8">
        <v>0.30000000428230017</v>
      </c>
      <c r="G50" s="8">
        <f>(1-C50/F50)^2</f>
      </c>
      <c r="H50" s="3"/>
      <c r="I50" s="4"/>
      <c r="J50" s="3"/>
      <c r="K50" s="5"/>
      <c r="L50" s="3"/>
      <c r="M50" s="5"/>
      <c r="N50" s="5"/>
      <c r="O50" s="5"/>
      <c r="P50" s="6"/>
      <c r="Q50" s="4"/>
    </row>
    <row x14ac:dyDescent="0.25" r="51" customHeight="1" ht="19.5">
      <c r="A51" s="8">
        <v>4.9</v>
      </c>
      <c r="B51" s="7">
        <f>A51*3600</f>
      </c>
      <c r="C51" s="8">
        <v>0.2999033017570912</v>
      </c>
      <c r="D51" s="8">
        <v>0.3441472647411601</v>
      </c>
      <c r="E51" s="8">
        <v>0.3559494335017489</v>
      </c>
      <c r="F51" s="8">
        <v>0.30000000379494074</v>
      </c>
      <c r="G51" s="8">
        <f>(1-C51/F51)^2</f>
      </c>
      <c r="H51" s="3"/>
      <c r="I51" s="4"/>
      <c r="J51" s="3"/>
      <c r="K51" s="5"/>
      <c r="L51" s="3"/>
      <c r="M51" s="5"/>
      <c r="N51" s="5"/>
      <c r="O51" s="5"/>
      <c r="P51" s="6"/>
      <c r="Q51" s="4"/>
    </row>
    <row x14ac:dyDescent="0.25" r="52" customHeight="1" ht="19.5">
      <c r="A52" s="7">
        <v>5</v>
      </c>
      <c r="B52" s="7">
        <f>A52*3600</f>
      </c>
      <c r="C52" s="8">
        <v>0.29990782219744494</v>
      </c>
      <c r="D52" s="8">
        <v>0.34442087421091483</v>
      </c>
      <c r="E52" s="8">
        <v>0.35567130359164034</v>
      </c>
      <c r="F52" s="8">
        <v>0.3000000043901174</v>
      </c>
      <c r="G52" s="8">
        <f>(1-C52/F52)^2</f>
      </c>
      <c r="H52" s="3"/>
      <c r="I52" s="4"/>
      <c r="J52" s="3"/>
      <c r="K52" s="5"/>
      <c r="L52" s="3"/>
      <c r="M52" s="5"/>
      <c r="N52" s="5"/>
      <c r="O52" s="5"/>
      <c r="P52" s="6"/>
      <c r="Q52" s="4"/>
    </row>
    <row x14ac:dyDescent="0.25" r="53" customHeight="1" ht="19.5">
      <c r="A53" s="8">
        <v>5.1</v>
      </c>
      <c r="B53" s="7">
        <f>A53*3600</f>
      </c>
      <c r="C53" s="8">
        <v>0.29991212752378765</v>
      </c>
      <c r="D53" s="8">
        <v>0.3446814467840539</v>
      </c>
      <c r="E53" s="8">
        <v>0.3554064256921585</v>
      </c>
      <c r="F53" s="8">
        <v>0.3000000048252256</v>
      </c>
      <c r="G53" s="8">
        <f>(1-C53/F53)^2</f>
      </c>
      <c r="H53" s="3"/>
      <c r="I53" s="4"/>
      <c r="J53" s="3"/>
      <c r="K53" s="5"/>
      <c r="L53" s="3"/>
      <c r="M53" s="5"/>
      <c r="N53" s="5"/>
      <c r="O53" s="5"/>
      <c r="P53" s="6"/>
      <c r="Q53" s="4"/>
    </row>
    <row x14ac:dyDescent="0.25" r="54" customHeight="1" ht="19.5">
      <c r="A54" s="8">
        <v>5.2</v>
      </c>
      <c r="B54" s="7">
        <f>A54*3600</f>
      </c>
      <c r="C54" s="8">
        <v>0.29991622799510215</v>
      </c>
      <c r="D54" s="8">
        <v>0.3449296310322072</v>
      </c>
      <c r="E54" s="8">
        <v>0.3551541409726904</v>
      </c>
      <c r="F54" s="8">
        <v>0.3000000050496108</v>
      </c>
      <c r="G54" s="8">
        <f>(1-C54/F54)^2</f>
      </c>
      <c r="H54" s="3"/>
      <c r="I54" s="4"/>
      <c r="J54" s="3"/>
      <c r="K54" s="5"/>
      <c r="L54" s="3"/>
      <c r="M54" s="5"/>
      <c r="N54" s="5"/>
      <c r="O54" s="5"/>
      <c r="P54" s="6"/>
      <c r="Q54" s="4"/>
    </row>
    <row x14ac:dyDescent="0.25" r="55" customHeight="1" ht="19.5">
      <c r="A55" s="8">
        <v>5.3</v>
      </c>
      <c r="B55" s="7">
        <f>A55*3600</f>
      </c>
      <c r="C55" s="8">
        <v>0.29992013368248904</v>
      </c>
      <c r="D55" s="8">
        <v>0.3451660403875311</v>
      </c>
      <c r="E55" s="8">
        <v>0.35491382592997983</v>
      </c>
      <c r="F55" s="8">
        <v>0.300000005012619</v>
      </c>
      <c r="G55" s="8">
        <f>(1-C55/F55)^2</f>
      </c>
      <c r="H55" s="3"/>
      <c r="I55" s="4"/>
      <c r="J55" s="3"/>
      <c r="K55" s="5"/>
      <c r="L55" s="3"/>
      <c r="M55" s="5"/>
      <c r="N55" s="5"/>
      <c r="O55" s="5"/>
      <c r="P55" s="6"/>
      <c r="Q55" s="4"/>
    </row>
    <row x14ac:dyDescent="0.25" r="56" customHeight="1" ht="19.5">
      <c r="A56" s="8">
        <v>5.4</v>
      </c>
      <c r="B56" s="7">
        <f>A56*3600</f>
      </c>
      <c r="C56" s="8">
        <v>0.2999238542369785</v>
      </c>
      <c r="D56" s="8">
        <v>0.3453912449777324</v>
      </c>
      <c r="E56" s="8">
        <v>0.3546849007852889</v>
      </c>
      <c r="F56" s="8">
        <v>0.30000000466359583</v>
      </c>
      <c r="G56" s="8">
        <f>(1-C56/F56)^2</f>
      </c>
      <c r="H56" s="3"/>
      <c r="I56" s="4"/>
      <c r="J56" s="3"/>
      <c r="K56" s="5"/>
      <c r="L56" s="3"/>
      <c r="M56" s="5"/>
      <c r="N56" s="5"/>
      <c r="O56" s="5"/>
      <c r="P56" s="6"/>
      <c r="Q56" s="4"/>
    </row>
    <row x14ac:dyDescent="0.25" r="57" customHeight="1" ht="19.5">
      <c r="A57" s="8">
        <v>5.5</v>
      </c>
      <c r="B57" s="7">
        <f>A57*3600</f>
      </c>
      <c r="C57" s="8">
        <v>0.2999273988598251</v>
      </c>
      <c r="D57" s="8">
        <v>0.34560579667078095</v>
      </c>
      <c r="E57" s="8">
        <v>0.35446680446939377</v>
      </c>
      <c r="F57" s="8">
        <v>0.30000000395188725</v>
      </c>
      <c r="G57" s="8">
        <f>(1-C57/F57)^2</f>
      </c>
      <c r="H57" s="3"/>
      <c r="I57" s="4"/>
      <c r="J57" s="3"/>
      <c r="K57" s="5"/>
      <c r="L57" s="3"/>
      <c r="M57" s="5"/>
      <c r="N57" s="5"/>
      <c r="O57" s="5"/>
      <c r="P57" s="6"/>
      <c r="Q57" s="4"/>
    </row>
    <row x14ac:dyDescent="0.25" r="58" customHeight="1" ht="19.5">
      <c r="A58" s="8">
        <v>5.6</v>
      </c>
      <c r="B58" s="7">
        <f>A58*3600</f>
      </c>
      <c r="C58" s="8">
        <v>0.2999307763428871</v>
      </c>
      <c r="D58" s="8">
        <v>0.34581021547035873</v>
      </c>
      <c r="E58" s="8">
        <v>0.3542590081867542</v>
      </c>
      <c r="F58" s="8">
        <v>0.3000000028268389</v>
      </c>
      <c r="G58" s="8">
        <f>(1-C58/F58)^2</f>
      </c>
      <c r="H58" s="3"/>
      <c r="I58" s="4"/>
      <c r="J58" s="3"/>
      <c r="K58" s="5"/>
      <c r="L58" s="3"/>
      <c r="M58" s="5"/>
      <c r="N58" s="5"/>
      <c r="O58" s="5"/>
      <c r="P58" s="6"/>
      <c r="Q58" s="4"/>
    </row>
    <row x14ac:dyDescent="0.25" r="59" customHeight="1" ht="19.5">
      <c r="A59" s="8">
        <v>5.7</v>
      </c>
      <c r="B59" s="7">
        <f>A59*3600</f>
      </c>
      <c r="C59" s="8">
        <v>0.29993399439886403</v>
      </c>
      <c r="D59" s="8">
        <v>0.3460049910665139</v>
      </c>
      <c r="E59" s="8">
        <v>0.3540610145346224</v>
      </c>
      <c r="F59" s="8">
        <v>0.3000000012377963</v>
      </c>
      <c r="G59" s="8">
        <f>(1-C59/F59)^2</f>
      </c>
      <c r="H59" s="3"/>
      <c r="I59" s="4"/>
      <c r="J59" s="3"/>
      <c r="K59" s="5"/>
      <c r="L59" s="3"/>
      <c r="M59" s="5"/>
      <c r="N59" s="5"/>
      <c r="O59" s="5"/>
      <c r="P59" s="6"/>
      <c r="Q59" s="4"/>
    </row>
    <row x14ac:dyDescent="0.25" r="60" customHeight="1" ht="19.5">
      <c r="A60" s="8">
        <v>5.8</v>
      </c>
      <c r="B60" s="7">
        <f>A60*3600</f>
      </c>
      <c r="C60" s="8">
        <v>0.2999370609343712</v>
      </c>
      <c r="D60" s="8">
        <v>0.3461905910056107</v>
      </c>
      <c r="E60" s="8">
        <v>0.35387234806001766</v>
      </c>
      <c r="F60" s="8">
        <v>0.3000000004602484</v>
      </c>
      <c r="G60" s="8">
        <f>(1-C60/F60)^2</f>
      </c>
      <c r="H60" s="3"/>
      <c r="I60" s="4"/>
      <c r="J60" s="3"/>
      <c r="K60" s="5"/>
      <c r="L60" s="3"/>
      <c r="M60" s="5"/>
      <c r="N60" s="5"/>
      <c r="O60" s="5"/>
      <c r="P60" s="6"/>
      <c r="Q60" s="4"/>
    </row>
    <row x14ac:dyDescent="0.25" r="61" customHeight="1" ht="19.5">
      <c r="A61" s="8">
        <v>5.9</v>
      </c>
      <c r="B61" s="7">
        <f>A61*3600</f>
      </c>
      <c r="C61" s="8">
        <v>0.2999399832479972</v>
      </c>
      <c r="D61" s="8">
        <v>0.34636745792308465</v>
      </c>
      <c r="E61" s="8">
        <v>0.3536925588289182</v>
      </c>
      <c r="F61" s="8">
        <v>0.2999999998899261</v>
      </c>
      <c r="G61" s="8">
        <f>(1-C61/F61)^2</f>
      </c>
      <c r="H61" s="3"/>
      <c r="I61" s="4"/>
      <c r="J61" s="3"/>
      <c r="K61" s="5"/>
      <c r="L61" s="3"/>
      <c r="M61" s="5"/>
      <c r="N61" s="5"/>
      <c r="O61" s="5"/>
      <c r="P61" s="6"/>
      <c r="Q61" s="4"/>
    </row>
    <row x14ac:dyDescent="0.25" r="62" customHeight="1" ht="19.5">
      <c r="A62" s="7">
        <v>6</v>
      </c>
      <c r="B62" s="7">
        <f>A62*3600</f>
      </c>
      <c r="C62" s="8">
        <v>0.2999427683144437</v>
      </c>
      <c r="D62" s="8">
        <v>0.34653601271686585</v>
      </c>
      <c r="E62" s="8">
        <v>0.35352121896869054</v>
      </c>
      <c r="F62" s="8">
        <v>0.29999999947491557</v>
      </c>
      <c r="G62" s="8">
        <f>(1-C62/F62)^2</f>
      </c>
      <c r="H62" s="3"/>
      <c r="I62" s="4"/>
      <c r="J62" s="3"/>
      <c r="K62" s="5"/>
      <c r="L62" s="3"/>
      <c r="M62" s="5"/>
      <c r="N62" s="5"/>
      <c r="O62" s="5"/>
      <c r="P62" s="6"/>
      <c r="Q62" s="4"/>
    </row>
    <row x14ac:dyDescent="0.25" r="63" customHeight="1" ht="19.5">
      <c r="A63" s="8">
        <v>6.1</v>
      </c>
      <c r="B63" s="7">
        <f>A63*3600</f>
      </c>
      <c r="C63" s="8">
        <v>0.29994542263541274</v>
      </c>
      <c r="D63" s="8">
        <v>0.34669665444137243</v>
      </c>
      <c r="E63" s="8">
        <v>0.35335792292321466</v>
      </c>
      <c r="F63" s="8">
        <v>0.2999999992682036</v>
      </c>
      <c r="G63" s="8">
        <f>(1-C63/F63)^2</f>
      </c>
      <c r="H63" s="3"/>
      <c r="I63" s="4"/>
      <c r="J63" s="3"/>
      <c r="K63" s="5"/>
      <c r="L63" s="3"/>
      <c r="M63" s="5"/>
      <c r="N63" s="5"/>
      <c r="O63" s="5"/>
      <c r="P63" s="6"/>
      <c r="Q63" s="4"/>
    </row>
    <row x14ac:dyDescent="0.25" r="64" customHeight="1" ht="19.5">
      <c r="A64" s="8">
        <v>6.2</v>
      </c>
      <c r="B64" s="7">
        <f>A64*3600</f>
      </c>
      <c r="C64" s="8">
        <v>0.2999479523687257</v>
      </c>
      <c r="D64" s="8">
        <v>0.3468497627503606</v>
      </c>
      <c r="E64" s="8">
        <v>0.35320228488091315</v>
      </c>
      <c r="F64" s="8">
        <v>0.2999999993227777</v>
      </c>
      <c r="G64" s="8">
        <f>(1-C64/F64)^2</f>
      </c>
      <c r="H64" s="3"/>
      <c r="I64" s="4"/>
      <c r="J64" s="3"/>
      <c r="K64" s="5"/>
      <c r="L64" s="3"/>
      <c r="M64" s="5"/>
      <c r="N64" s="5"/>
      <c r="O64" s="5"/>
      <c r="P64" s="6"/>
      <c r="Q64" s="4"/>
    </row>
    <row x14ac:dyDescent="0.25" r="65" customHeight="1" ht="19.5">
      <c r="A65" s="8">
        <v>6.3</v>
      </c>
      <c r="B65" s="7">
        <f>A65*3600</f>
      </c>
      <c r="C65" s="8">
        <v>0.2999503633148294</v>
      </c>
      <c r="D65" s="8">
        <v>0.34699569898839694</v>
      </c>
      <c r="E65" s="8">
        <v>0.3530539376967735</v>
      </c>
      <c r="F65" s="8">
        <v>0.2999999996916249</v>
      </c>
      <c r="G65" s="8">
        <f>(1-C65/F65)^2</f>
      </c>
      <c r="H65" s="3"/>
      <c r="I65" s="4"/>
      <c r="J65" s="3"/>
      <c r="K65" s="5"/>
      <c r="L65" s="3"/>
      <c r="M65" s="5"/>
      <c r="N65" s="5"/>
      <c r="O65" s="5"/>
      <c r="P65" s="6"/>
      <c r="Q65" s="4"/>
    </row>
  </sheetData>
  <pageMargins left="0.7" right="0.7" top="0.75" bottom="0.75" header="0.3" footer="0.3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wijmo.xlsx</Application>
  <DocSecurity>0</DocSecurity>
  <ScaleCrop>false</ScaleCrop>
  <HeadingPairs>
    <vt:vector baseType="variant" size="2">
      <vt:variant>
        <vt:lpstr>Worksheets</vt:lpstr>
      </vt:variant>
      <vt:variant>
        <vt:i4>1</vt:i4>
      </vt:variant>
    </vt:vector>
  </HeadingPairs>
  <TitlesOfParts>
    <vt:vector baseType="lpstr" size="1">
      <vt:lpstr>Tabelle1</vt:lpstr>
    </vt:vector>
  </TitlesOfParts>
  <Manager/>
  <Company>GrapeCity, Inc.</Company>
  <LinksUpToDate>false</LinksUpToDate>
  <SharedDoc>false</SharedDoc>
  <HyperlinksChanged>false</HyperlinksChanged>
  <AppVersion>1.0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2023-01-19T13:28:50.956Z</dcterms:created>
  <dcterms:modified xsi:type="dcterms:W3CDTF">2023-01-19T13:28:50.956Z</dcterms:modified>
</cp:coreProperties>
</file>